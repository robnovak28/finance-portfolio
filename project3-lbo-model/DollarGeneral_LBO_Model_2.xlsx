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no\Downloads\"/>
    </mc:Choice>
  </mc:AlternateContent>
  <xr:revisionPtr revIDLastSave="0" documentId="13_ncr:1_{B31074D8-77A7-4E70-A03E-26095A25E642}" xr6:coauthVersionLast="47" xr6:coauthVersionMax="47" xr10:uidLastSave="{00000000-0000-0000-0000-000000000000}"/>
  <bookViews>
    <workbookView xWindow="-96" yWindow="-96" windowWidth="20928" windowHeight="12432" firstSheet="1" activeTab="5" xr2:uid="{00000000-000D-0000-FFFF-FFFF00000000}"/>
  </bookViews>
  <sheets>
    <sheet name="Cover" sheetId="1" r:id="rId1"/>
    <sheet name="Assumptions" sheetId="2" r:id="rId2"/>
    <sheet name="Sources &amp; Uses" sheetId="3" r:id="rId3"/>
    <sheet name="Income Statement" sheetId="4" r:id="rId4"/>
    <sheet name="Cash Flow Statement" sheetId="5" r:id="rId5"/>
    <sheet name="Balance Sheet" sheetId="6" r:id="rId6"/>
    <sheet name="Debt Schedule" sheetId="7" r:id="rId7"/>
    <sheet name="Returns &amp; Value Bridge" sheetId="8" r:id="rId8"/>
    <sheet name="Credit Metrics" sheetId="9" r:id="rId9"/>
    <sheet name="Scenario Analysi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8" l="1"/>
  <c r="C24" i="8" s="1"/>
  <c r="H71" i="7"/>
  <c r="G71" i="7"/>
  <c r="F71" i="7"/>
  <c r="E71" i="7"/>
  <c r="D71" i="7"/>
  <c r="C71" i="7"/>
  <c r="H60" i="7"/>
  <c r="G60" i="7"/>
  <c r="F60" i="7"/>
  <c r="E60" i="7"/>
  <c r="D60" i="7"/>
  <c r="C60" i="7"/>
  <c r="H49" i="7"/>
  <c r="G49" i="7"/>
  <c r="F49" i="7"/>
  <c r="E49" i="7"/>
  <c r="D49" i="7"/>
  <c r="C49" i="7"/>
  <c r="H38" i="7"/>
  <c r="G38" i="7"/>
  <c r="F38" i="7"/>
  <c r="E38" i="7"/>
  <c r="D38" i="7"/>
  <c r="C38" i="7"/>
  <c r="H27" i="7"/>
  <c r="G27" i="7"/>
  <c r="F27" i="7"/>
  <c r="E27" i="7"/>
  <c r="D27" i="7"/>
  <c r="C27" i="7"/>
  <c r="H9" i="7"/>
  <c r="G9" i="7"/>
  <c r="F9" i="7"/>
  <c r="E9" i="7"/>
  <c r="D9" i="7"/>
  <c r="C9" i="7"/>
  <c r="I26" i="6"/>
  <c r="H26" i="6"/>
  <c r="G26" i="6"/>
  <c r="F26" i="6"/>
  <c r="E26" i="6"/>
  <c r="D26" i="6"/>
  <c r="I23" i="6"/>
  <c r="I27" i="6" s="1"/>
  <c r="H23" i="6"/>
  <c r="H27" i="6" s="1"/>
  <c r="G23" i="6"/>
  <c r="G27" i="6" s="1"/>
  <c r="D23" i="6"/>
  <c r="D27" i="6" s="1"/>
  <c r="I19" i="6"/>
  <c r="H19" i="6"/>
  <c r="G19" i="6"/>
  <c r="F19" i="6"/>
  <c r="F23" i="6" s="1"/>
  <c r="F27" i="6" s="1"/>
  <c r="E19" i="6"/>
  <c r="E23" i="6" s="1"/>
  <c r="E27" i="6" s="1"/>
  <c r="D19" i="6"/>
  <c r="I8" i="6"/>
  <c r="I14" i="6" s="1"/>
  <c r="I28" i="6" s="1"/>
  <c r="H8" i="6"/>
  <c r="H14" i="6" s="1"/>
  <c r="H28" i="6" s="1"/>
  <c r="G8" i="6"/>
  <c r="G14" i="6" s="1"/>
  <c r="G28" i="6" s="1"/>
  <c r="F8" i="6"/>
  <c r="F14" i="6" s="1"/>
  <c r="F28" i="6" s="1"/>
  <c r="E8" i="6"/>
  <c r="E14" i="6" s="1"/>
  <c r="E28" i="6" s="1"/>
  <c r="D8" i="6"/>
  <c r="D14" i="6" s="1"/>
  <c r="D28" i="6" s="1"/>
  <c r="H14" i="5"/>
  <c r="G14" i="5"/>
  <c r="F14" i="5"/>
  <c r="E14" i="5"/>
  <c r="D14" i="5"/>
  <c r="C14" i="5"/>
  <c r="C22" i="4"/>
  <c r="C5" i="5" s="1"/>
  <c r="H20" i="4"/>
  <c r="G20" i="4"/>
  <c r="F20" i="4"/>
  <c r="E20" i="4"/>
  <c r="D20" i="4"/>
  <c r="C20" i="4"/>
  <c r="C15" i="4"/>
  <c r="C14" i="4"/>
  <c r="C18" i="4" s="1"/>
  <c r="H10" i="4"/>
  <c r="G10" i="4"/>
  <c r="F10" i="4"/>
  <c r="E10" i="4"/>
  <c r="D10" i="4"/>
  <c r="C10" i="3"/>
  <c r="G9" i="3"/>
  <c r="C21" i="4" l="1"/>
  <c r="C23" i="4"/>
  <c r="C25" i="4" s="1"/>
  <c r="C19" i="4"/>
  <c r="C16" i="4"/>
  <c r="C17" i="4" s="1"/>
  <c r="C9" i="5"/>
  <c r="C10" i="5" s="1"/>
  <c r="D14" i="4"/>
  <c r="D18" i="4" l="1"/>
  <c r="E14" i="4"/>
  <c r="D9" i="5"/>
  <c r="D10" i="5" s="1"/>
  <c r="D15" i="4"/>
  <c r="D16" i="4"/>
  <c r="D17" i="4" s="1"/>
  <c r="D22" i="4"/>
  <c r="D5" i="5" s="1"/>
  <c r="C26" i="4"/>
  <c r="C27" i="4"/>
  <c r="C4" i="5" s="1"/>
  <c r="C8" i="5" s="1"/>
  <c r="C15" i="5" l="1"/>
  <c r="C11" i="5"/>
  <c r="E9" i="5"/>
  <c r="E10" i="5" s="1"/>
  <c r="F14" i="4"/>
  <c r="E22" i="4"/>
  <c r="E5" i="5" s="1"/>
  <c r="E15" i="4"/>
  <c r="E16" i="4" s="1"/>
  <c r="E17" i="4" s="1"/>
  <c r="E18" i="4"/>
  <c r="D21" i="4"/>
  <c r="D19" i="4"/>
  <c r="D23" i="4"/>
  <c r="D25" i="4" s="1"/>
  <c r="D26" i="4" l="1"/>
  <c r="D27" i="4"/>
  <c r="D4" i="5" s="1"/>
  <c r="D8" i="5" s="1"/>
  <c r="E21" i="4"/>
  <c r="E23" i="4"/>
  <c r="E25" i="4" s="1"/>
  <c r="E19" i="4"/>
  <c r="G14" i="4"/>
  <c r="F9" i="5"/>
  <c r="F10" i="5" s="1"/>
  <c r="F15" i="4"/>
  <c r="F16" i="4" s="1"/>
  <c r="F17" i="4" s="1"/>
  <c r="F18" i="4"/>
  <c r="F22" i="4"/>
  <c r="F5" i="5" s="1"/>
  <c r="F21" i="4" l="1"/>
  <c r="F23" i="4"/>
  <c r="F25" i="4" s="1"/>
  <c r="F19" i="4"/>
  <c r="H14" i="4"/>
  <c r="G9" i="5"/>
  <c r="G10" i="5" s="1"/>
  <c r="G22" i="4"/>
  <c r="G5" i="5" s="1"/>
  <c r="G18" i="4"/>
  <c r="G15" i="4"/>
  <c r="G16" i="4" s="1"/>
  <c r="G17" i="4" s="1"/>
  <c r="D15" i="5"/>
  <c r="D11" i="5"/>
  <c r="E26" i="4"/>
  <c r="E27" i="4" s="1"/>
  <c r="E4" i="5" s="1"/>
  <c r="E8" i="5" s="1"/>
  <c r="E15" i="5" l="1"/>
  <c r="E11" i="5"/>
  <c r="G23" i="4"/>
  <c r="G25" i="4" s="1"/>
  <c r="G19" i="4"/>
  <c r="G21" i="4"/>
  <c r="F26" i="4"/>
  <c r="F27" i="4" s="1"/>
  <c r="F4" i="5" s="1"/>
  <c r="F8" i="5" s="1"/>
  <c r="H9" i="5"/>
  <c r="H10" i="5" s="1"/>
  <c r="H16" i="4"/>
  <c r="H17" i="4" s="1"/>
  <c r="H18" i="4"/>
  <c r="H15" i="4"/>
  <c r="H22" i="4"/>
  <c r="H5" i="5" s="1"/>
  <c r="F15" i="5" l="1"/>
  <c r="F11" i="5"/>
  <c r="H23" i="4"/>
  <c r="H25" i="4" s="1"/>
  <c r="H19" i="4"/>
  <c r="H21" i="4"/>
  <c r="G26" i="4"/>
  <c r="G27" i="4" s="1"/>
  <c r="G4" i="5" s="1"/>
  <c r="G8" i="5" s="1"/>
  <c r="G15" i="5" l="1"/>
  <c r="G11" i="5"/>
  <c r="H27" i="4"/>
  <c r="H4" i="5" s="1"/>
  <c r="H8" i="5" s="1"/>
  <c r="H26" i="4"/>
  <c r="H15" i="5" l="1"/>
  <c r="H11" i="5"/>
</calcChain>
</file>

<file path=xl/sharedStrings.xml><?xml version="1.0" encoding="utf-8"?>
<sst xmlns="http://schemas.openxmlformats.org/spreadsheetml/2006/main" count="501" uniqueCount="278">
  <si>
    <t>LEVERAGED BUYOUT ANALYSIS
Dollar General Corporation (NYSE: DG)</t>
  </si>
  <si>
    <t>Discount Retail  |  ~20,000 Stores  |  Prepared: February 26, 2026</t>
  </si>
  <si>
    <t>KEY RETURNS SUMMARY</t>
  </si>
  <si>
    <t>IRR</t>
  </si>
  <si>
    <t>22.5%</t>
  </si>
  <si>
    <t>MOIC</t>
  </si>
  <si>
    <t>3.37x</t>
  </si>
  <si>
    <t>Entry EV ($M)</t>
  </si>
  <si>
    <t>$37,107</t>
  </si>
  <si>
    <t>Equity Invested ($M)</t>
  </si>
  <si>
    <t>$16,751</t>
  </si>
  <si>
    <t>Exit EV ($M)</t>
  </si>
  <si>
    <t>$71,372</t>
  </si>
  <si>
    <t>Exit Equity ($M)</t>
  </si>
  <si>
    <t>$56,480</t>
  </si>
  <si>
    <t>Hold Period</t>
  </si>
  <si>
    <t>6 years</t>
  </si>
  <si>
    <t>Entry EV/EBITDA</t>
  </si>
  <si>
    <t>10.5x</t>
  </si>
  <si>
    <t>Exit EV/EBITDA</t>
  </si>
  <si>
    <t>12.5x</t>
  </si>
  <si>
    <t>Entry Leverage</t>
  </si>
  <si>
    <t>6.1x</t>
  </si>
  <si>
    <t>TRANSACTION OVERVIEW</t>
  </si>
  <si>
    <t>Target</t>
  </si>
  <si>
    <t>Dollar General Corporation</t>
  </si>
  <si>
    <t>Sector</t>
  </si>
  <si>
    <t>Consumer Discretionary — Discount Retail</t>
  </si>
  <si>
    <t>LTM Revenue ($M)</t>
  </si>
  <si>
    <t>$37,844</t>
  </si>
  <si>
    <t>LTM EBITDA ($M)</t>
  </si>
  <si>
    <t>$3,534</t>
  </si>
  <si>
    <t>LTM EBITDA Margin</t>
  </si>
  <si>
    <t>9.3%</t>
  </si>
  <si>
    <t>Total New Debt ($M)</t>
  </si>
  <si>
    <t>$21,500</t>
  </si>
  <si>
    <t>Sponsor Equity ($M)</t>
  </si>
  <si>
    <t>Equity / Total Cap.</t>
  </si>
  <si>
    <t>43.8%</t>
  </si>
  <si>
    <t>CONFIDENTIAL — For Discussion Purposes Only. All values USD millions unless noted. ‡ Interest Expense is computed by an iterative debt engine and is a fixed input to the P&amp;L.</t>
  </si>
  <si>
    <t>DEAL ASSUMPTIONS</t>
  </si>
  <si>
    <t>1.  ENTRY / TRANSACTION</t>
  </si>
  <si>
    <t>Entry EV/EBITDA (x)</t>
  </si>
  <si>
    <t>Existing Net Debt ($M)</t>
  </si>
  <si>
    <t>Entry Gross Leverage (x)</t>
  </si>
  <si>
    <t>Hold Period (years)</t>
  </si>
  <si>
    <t>Exit EV/EBITDA (x)</t>
  </si>
  <si>
    <t>Tax Rate</t>
  </si>
  <si>
    <t>Cash Sweep (%)</t>
  </si>
  <si>
    <t>Min Cash Balance ($M)</t>
  </si>
  <si>
    <t>2.  DEBT STRUCTURE</t>
  </si>
  <si>
    <t>Tranche</t>
  </si>
  <si>
    <t>Principal ($M)</t>
  </si>
  <si>
    <t>Rate Type</t>
  </si>
  <si>
    <t>All-In Rate</t>
  </si>
  <si>
    <t>Term (yrs)</t>
  </si>
  <si>
    <t>Amort %</t>
  </si>
  <si>
    <t>OID %</t>
  </si>
  <si>
    <t>Revolver</t>
  </si>
  <si>
    <t>SOFR + 2%</t>
  </si>
  <si>
    <t>Term Loan A</t>
  </si>
  <si>
    <t>SOFR + 3%</t>
  </si>
  <si>
    <t>Term Loan B</t>
  </si>
  <si>
    <t>SOFR + 4%</t>
  </si>
  <si>
    <t>Senior Secured Notes</t>
  </si>
  <si>
    <t>Fixed</t>
  </si>
  <si>
    <t>High Yield Notes</t>
  </si>
  <si>
    <t>3.  OPERATING PROJECTIONS (BY YEAR)</t>
  </si>
  <si>
    <t>Driver</t>
  </si>
  <si>
    <t>Year 1</t>
  </si>
  <si>
    <t>Year 2</t>
  </si>
  <si>
    <t>Year 3</t>
  </si>
  <si>
    <t>Year 4</t>
  </si>
  <si>
    <t>Year 5</t>
  </si>
  <si>
    <t>Year 6</t>
  </si>
  <si>
    <t>Revenue Growth (%)</t>
  </si>
  <si>
    <t>EBITDA Margin (%)</t>
  </si>
  <si>
    <t>D&amp;A (% Revenue)</t>
  </si>
  <si>
    <t>CapEx (% Revenue)</t>
  </si>
  <si>
    <t>SOURCES &amp; USES OF FUNDS</t>
  </si>
  <si>
    <t>SOURCES</t>
  </si>
  <si>
    <t>Amount ($M)</t>
  </si>
  <si>
    <t>% Total</t>
  </si>
  <si>
    <t>USES</t>
  </si>
  <si>
    <t>Revolver (SOFR+250bps, 5yr)</t>
  </si>
  <si>
    <t>1.3%</t>
  </si>
  <si>
    <t>Purchase Equity (EV – Net Debt)</t>
  </si>
  <si>
    <t>80.0%</t>
  </si>
  <si>
    <t>Term Loan A (SOFR+275bps, 5yr)</t>
  </si>
  <si>
    <t>10.5%</t>
  </si>
  <si>
    <t>Repay Existing Gross Debt</t>
  </si>
  <si>
    <t>17.8%</t>
  </si>
  <si>
    <t>Term Loan B (SOFR+400bps, 7yr)</t>
  </si>
  <si>
    <t>20.9%</t>
  </si>
  <si>
    <t>M&amp;A Advisory &amp; Legal Fees</t>
  </si>
  <si>
    <t>0.5%</t>
  </si>
  <si>
    <t>Senior Secured Notes (7.25% fixed, 8yr)</t>
  </si>
  <si>
    <t>14.4%</t>
  </si>
  <si>
    <t>Financing Fees / OID</t>
  </si>
  <si>
    <t>0.9%</t>
  </si>
  <si>
    <t>High Yield Notes (9.00% fixed, 10yr)</t>
  </si>
  <si>
    <t>9.2%</t>
  </si>
  <si>
    <t>Cash to Balance Sheet</t>
  </si>
  <si>
    <t>0.8%</t>
  </si>
  <si>
    <t>Sponsor Equity</t>
  </si>
  <si>
    <t>Total Uses</t>
  </si>
  <si>
    <t>100.0%</t>
  </si>
  <si>
    <t>Total Sources</t>
  </si>
  <si>
    <t>Entry Leverage: 6.1x  |  Net Leverage: 6.0x  |  Equity / Total Cap: 43.8%</t>
  </si>
  <si>
    <t>PROJECTED INCOME STATEMENT  ($M)</t>
  </si>
  <si>
    <t>Line Item</t>
  </si>
  <si>
    <t>REVENUE &amp; MARGIN DRIVERS  ← editable inputs</t>
  </si>
  <si>
    <t>Entry LTM Revenue ($M)</t>
  </si>
  <si>
    <t>Gross Margin (%)</t>
  </si>
  <si>
    <t>Annual Mgmt Fee ($M)</t>
  </si>
  <si>
    <t>PROJECTED P&amp;L  (formulas reference driver block above)</t>
  </si>
  <si>
    <t>Revenue</t>
  </si>
  <si>
    <t>COGS</t>
  </si>
  <si>
    <t>Gross Profit</t>
  </si>
  <si>
    <t>Gross Margin</t>
  </si>
  <si>
    <t>EBITDA</t>
  </si>
  <si>
    <t>EBITDA Margin</t>
  </si>
  <si>
    <t>Mgmt Fee</t>
  </si>
  <si>
    <t>Adj EBITDA</t>
  </si>
  <si>
    <t>D&amp;A</t>
  </si>
  <si>
    <t>EBIT</t>
  </si>
  <si>
    <t>Interest Expense ‡</t>
  </si>
  <si>
    <t>EBT</t>
  </si>
  <si>
    <t>Tax</t>
  </si>
  <si>
    <t>Net Income</t>
  </si>
  <si>
    <t>‡ Interest Expense is computed by an iterative cash-sweep debt model and cannot be replicated by a simple Excel formula. All other P&amp;L line items are formula-driven.</t>
  </si>
  <si>
    <t>PROJECTED CASH FLOW STATEMENT  ($M)</t>
  </si>
  <si>
    <t>(+) D&amp;A</t>
  </si>
  <si>
    <t>(+) DFF Amort</t>
  </si>
  <si>
    <t>Δ NWC</t>
  </si>
  <si>
    <t>Operating CF</t>
  </si>
  <si>
    <t>(-) CapEx</t>
  </si>
  <si>
    <t>Investing CF</t>
  </si>
  <si>
    <t>Free Cash Flow</t>
  </si>
  <si>
    <t>(-) Debt Repaid</t>
  </si>
  <si>
    <t>(-) Mgmt Fee</t>
  </si>
  <si>
    <t>Financing CF</t>
  </si>
  <si>
    <t>Net Change in Cash</t>
  </si>
  <si>
    <t>BALANCE SHEET  ($M)</t>
  </si>
  <si>
    <t>Day 1 (Opening)</t>
  </si>
  <si>
    <t>Cash &amp; Equivalents</t>
  </si>
  <si>
    <t>Accounts Receivable</t>
  </si>
  <si>
    <t>Inventory</t>
  </si>
  <si>
    <t>Other Current Assets</t>
  </si>
  <si>
    <t>Total Current Assets</t>
  </si>
  <si>
    <t>PP&amp;E (net)</t>
  </si>
  <si>
    <t>Operating Lease ROU Assets</t>
  </si>
  <si>
    <t>Goodwill</t>
  </si>
  <si>
    <t>Deferred Financing Fees</t>
  </si>
  <si>
    <t>Other LT Assets</t>
  </si>
  <si>
    <t>Total Assets</t>
  </si>
  <si>
    <t>Accounts Payable</t>
  </si>
  <si>
    <t>Accrued Liabilities</t>
  </si>
  <si>
    <t>Current Lease Liabilities</t>
  </si>
  <si>
    <t>Other Current Liabilities</t>
  </si>
  <si>
    <t>Total Current Liabilities</t>
  </si>
  <si>
    <t>Total Debt (new structure)</t>
  </si>
  <si>
    <t>LT Operating Lease</t>
  </si>
  <si>
    <t>Other LT Liabilities</t>
  </si>
  <si>
    <t>Total Liabilities</t>
  </si>
  <si>
    <t>Sponsor Equity (Paid-In)</t>
  </si>
  <si>
    <t>Retained Earnings</t>
  </si>
  <si>
    <t>Total Equity</t>
  </si>
  <si>
    <t>Total L+E</t>
  </si>
  <si>
    <t>BS Check (Assets - L+E)</t>
  </si>
  <si>
    <t>DEBT SCHEDULE &amp; CASH SWEEP  ($M)</t>
  </si>
  <si>
    <t>CONSOLIDATED DEBT SUMMARY</t>
  </si>
  <si>
    <t>Metric</t>
  </si>
  <si>
    <t>Beg. Total Debt ($M)</t>
  </si>
  <si>
    <t>Req. Amortization ($M)</t>
  </si>
  <si>
    <t>Cash Sweep ($M)</t>
  </si>
  <si>
    <t>Total Repaid ($M)</t>
  </si>
  <si>
    <t>End. Total Debt ($M)</t>
  </si>
  <si>
    <t>Cash Interest ($M)</t>
  </si>
  <si>
    <t>DFF Amort ($M)</t>
  </si>
  <si>
    <t>Interest Expense ($M)</t>
  </si>
  <si>
    <t>Gross Leverage (x)</t>
  </si>
  <si>
    <t>Interest Coverage (x)</t>
  </si>
  <si>
    <t>Revolver ($M)</t>
  </si>
  <si>
    <t>Term Loan A ($M)</t>
  </si>
  <si>
    <t>Term Loan B ($M)</t>
  </si>
  <si>
    <t>Senior Secured Notes ($M)</t>
  </si>
  <si>
    <t>High Yield Notes ($M)</t>
  </si>
  <si>
    <t>TRANCHE: REVOLVER</t>
  </si>
  <si>
    <t>Item</t>
  </si>
  <si>
    <t>Beginning Balance ($M)</t>
  </si>
  <si>
    <t>Required Amort ($M)</t>
  </si>
  <si>
    <t>Ending Balance ($M)</t>
  </si>
  <si>
    <t>Rate</t>
  </si>
  <si>
    <t>7.80%</t>
  </si>
  <si>
    <t>TRANCHE: TERM LOAN A</t>
  </si>
  <si>
    <t>8.05%</t>
  </si>
  <si>
    <t>TRANCHE: TERM LOAN B</t>
  </si>
  <si>
    <t>9.30%</t>
  </si>
  <si>
    <t>TRANCHE: SENIOR SECURED NOTES</t>
  </si>
  <si>
    <t>7.25%</t>
  </si>
  <si>
    <t>TRANCHE: HIGH YIELD NOTES</t>
  </si>
  <si>
    <t>9.00%</t>
  </si>
  <si>
    <t>RETURNS ANALYSIS &amp; VALUE ATTRIBUTION  ($M)</t>
  </si>
  <si>
    <t>RETURNS SUMMARY</t>
  </si>
  <si>
    <t>Entry EBITDA ($M)</t>
  </si>
  <si>
    <t>Entry Net Debt ($M)</t>
  </si>
  <si>
    <t>Exit EBITDA ($M)</t>
  </si>
  <si>
    <t>Exit Net Debt ($M)</t>
  </si>
  <si>
    <t>VALUE CREATION BRIDGE  ($M)</t>
  </si>
  <si>
    <t>Entry Equity Value ($M)</t>
  </si>
  <si>
    <t xml:space="preserve">  (+) EBITDA Growth</t>
  </si>
  <si>
    <t xml:space="preserve">  (+) Multiple Expansion / (Contraction)</t>
  </si>
  <si>
    <t xml:space="preserve">  (+) Debt Paydown (Deleveraging)</t>
  </si>
  <si>
    <t>Total Value Creation ($M)</t>
  </si>
  <si>
    <t>Exit Equity Value ($M)</t>
  </si>
  <si>
    <t>CASH FLOW TO EQUITY  ($M)</t>
  </si>
  <si>
    <t>Year</t>
  </si>
  <si>
    <t>Cash Flow ($M)</t>
  </si>
  <si>
    <t>Year 0 (Equity In)</t>
  </si>
  <si>
    <t>Year 6 (Exit)</t>
  </si>
  <si>
    <t>CREDIT METRICS &amp; COVENANT ANALYSIS</t>
  </si>
  <si>
    <t>YEAR-BY-YEAR CREDIT METRICS</t>
  </si>
  <si>
    <t>Revenue ($M)</t>
  </si>
  <si>
    <t>EBITDA ($M)</t>
  </si>
  <si>
    <t>Total Debt ($M)</t>
  </si>
  <si>
    <t>Net Debt ($M)</t>
  </si>
  <si>
    <t>Net Leverage (x)</t>
  </si>
  <si>
    <t>Fixed Charge Coverage (x)</t>
  </si>
  <si>
    <t>DSCR (x)</t>
  </si>
  <si>
    <t>Operating CF ($M)</t>
  </si>
  <si>
    <t>Free Cash Flow ($M)</t>
  </si>
  <si>
    <t>FCF / EBITDA</t>
  </si>
  <si>
    <t>CapEx / Revenue</t>
  </si>
  <si>
    <t>Implied Rating</t>
  </si>
  <si>
    <t>BB/Ba2</t>
  </si>
  <si>
    <t>BB+/Ba1</t>
  </si>
  <si>
    <t>BBB-/Baa3</t>
  </si>
  <si>
    <t>BBB/Baa2</t>
  </si>
  <si>
    <t>COVENANT COMPLIANCE &amp; HEADROOM</t>
  </si>
  <si>
    <t>Covenant Metric</t>
  </si>
  <si>
    <t>Gross Leverage</t>
  </si>
  <si>
    <t>Max Leverage Covenant</t>
  </si>
  <si>
    <t>Leverage Headroom (x)</t>
  </si>
  <si>
    <t>In Compliance (Leverage)</t>
  </si>
  <si>
    <t>YES</t>
  </si>
  <si>
    <t>Interest Coverage</t>
  </si>
  <si>
    <t>Min Coverage Covenant</t>
  </si>
  <si>
    <t>Coverage Headroom (x)</t>
  </si>
  <si>
    <t>In Compliance (Coverage)</t>
  </si>
  <si>
    <t>SCENARIO ANALYSIS — BULL / BASE / BEAR</t>
  </si>
  <si>
    <t>RETURNS COMPARISON</t>
  </si>
  <si>
    <t>Bear</t>
  </si>
  <si>
    <t>Base</t>
  </si>
  <si>
    <t>Bull</t>
  </si>
  <si>
    <t>10.3%</t>
  </si>
  <si>
    <t>31.4%</t>
  </si>
  <si>
    <t>1.80x</t>
  </si>
  <si>
    <t>5.15x</t>
  </si>
  <si>
    <t>$48,494</t>
  </si>
  <si>
    <t>$97,559</t>
  </si>
  <si>
    <t>$30,149</t>
  </si>
  <si>
    <t>$86,228</t>
  </si>
  <si>
    <t>DETAILED COMPARISON</t>
  </si>
  <si>
    <t>2.7%</t>
  </si>
  <si>
    <t>9.9%</t>
  </si>
  <si>
    <t>11.0x</t>
  </si>
  <si>
    <t>$18,344</t>
  </si>
  <si>
    <t>4.16x</t>
  </si>
  <si>
    <t>5.2%</t>
  </si>
  <si>
    <t>11.1%</t>
  </si>
  <si>
    <t>$14,892</t>
  </si>
  <si>
    <t>2.61x</t>
  </si>
  <si>
    <t>7.2%</t>
  </si>
  <si>
    <t>12.1%</t>
  </si>
  <si>
    <t>14.0x</t>
  </si>
  <si>
    <t>$11,331</t>
  </si>
  <si>
    <t>1.63x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</si>
</sst>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&quot;x&quot;"/>
    <numFmt numFmtId="166" formatCode="0.00&quot;x&quot;"/>
    <numFmt numFmtId="167" formatCode="0.0%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0"/>
      <color rgb="FFCCCCCC"/>
      <name val="Calibri"/>
      <family val="2"/>
    </font>
    <font>
      <b/>
      <sz val="11"/>
      <color rgb="FFFFFFFF"/>
      <name val="Calibri"/>
      <family val="2"/>
    </font>
    <font>
      <b/>
      <sz val="10"/>
      <color rgb="FF1A1A2E"/>
      <name val="Calibri"/>
      <family val="2"/>
    </font>
    <font>
      <sz val="10"/>
      <color rgb="FF1A1A2E"/>
      <name val="Calibri"/>
      <family val="2"/>
    </font>
    <font>
      <i/>
      <sz val="8"/>
      <color rgb="FF888888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i/>
      <sz val="9"/>
      <color rgb="FF555555"/>
      <name val="Calibri"/>
      <family val="2"/>
    </font>
    <font>
      <i/>
      <sz val="8"/>
      <color rgb="FF777777"/>
      <name val="Calibri"/>
      <family val="2"/>
    </font>
    <font>
      <sz val="10"/>
      <color rgb="FF8B0000"/>
      <name val="Calibri"/>
      <family val="2"/>
    </font>
    <font>
      <b/>
      <sz val="10"/>
      <color rgb="FF1A6B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2D40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EEF2F7"/>
      </patternFill>
    </fill>
    <fill>
      <patternFill patternType="solid">
        <fgColor rgb="FFE8EDF3"/>
      </patternFill>
    </fill>
    <fill>
      <patternFill patternType="solid">
        <fgColor rgb="FF1A4A7A"/>
      </patternFill>
    </fill>
    <fill>
      <patternFill patternType="solid">
        <fgColor rgb="FFEBF3FF"/>
      </patternFill>
    </fill>
    <fill>
      <patternFill patternType="solid">
        <fgColor rgb="FFF7F9FC"/>
      </patternFill>
    </fill>
    <fill>
      <patternFill patternType="solid">
        <fgColor rgb="FFFFF0F0"/>
      </patternFill>
    </fill>
    <fill>
      <patternFill patternType="solid">
        <fgColor rgb="FF8B1A1A"/>
      </patternFill>
    </fill>
    <fill>
      <patternFill patternType="solid">
        <fgColor rgb="FF1A6B3C"/>
      </patternFill>
    </fill>
  </fills>
  <borders count="4">
    <border>
      <left/>
      <right/>
      <top/>
      <bottom/>
      <diagonal/>
    </border>
    <border>
      <left style="thin">
        <color rgb="FFB0BAC8"/>
      </left>
      <right style="thin">
        <color rgb="FFB0BAC8"/>
      </right>
      <top style="thin">
        <color rgb="FFB0BAC8"/>
      </top>
      <bottom style="thin">
        <color rgb="FFB0BAC8"/>
      </bottom>
      <diagonal/>
    </border>
    <border>
      <left/>
      <right/>
      <top style="thin">
        <color rgb="FFB0BAC8"/>
      </top>
      <bottom style="thin">
        <color rgb="FFB0BAC8"/>
      </bottom>
      <diagonal/>
    </border>
    <border>
      <left/>
      <right style="thin">
        <color rgb="FFB0BAC8"/>
      </right>
      <top style="thin">
        <color rgb="FFB0BAC8"/>
      </top>
      <bottom style="thin">
        <color rgb="FFB0BAC8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0" fontId="0" fillId="4" borderId="0" xfId="0" applyFill="1"/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9" fontId="5" fillId="4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right" vertical="center"/>
    </xf>
    <xf numFmtId="167" fontId="5" fillId="4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right" vertical="center"/>
    </xf>
    <xf numFmtId="0" fontId="0" fillId="8" borderId="0" xfId="0" applyFill="1"/>
    <xf numFmtId="167" fontId="4" fillId="8" borderId="1" xfId="0" applyNumberFormat="1" applyFont="1" applyFill="1" applyBorder="1" applyAlignment="1">
      <alignment horizontal="right" vertical="center"/>
    </xf>
    <xf numFmtId="167" fontId="4" fillId="5" borderId="1" xfId="0" applyNumberFormat="1" applyFont="1" applyFill="1" applyBorder="1" applyAlignment="1">
      <alignment horizontal="right" vertical="center"/>
    </xf>
    <xf numFmtId="167" fontId="5" fillId="8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0" fillId="9" borderId="0" xfId="0" applyFill="1"/>
    <xf numFmtId="0" fontId="8" fillId="3" borderId="1" xfId="0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10" fillId="0" borderId="0" xfId="0" applyFont="1"/>
    <xf numFmtId="0" fontId="11" fillId="10" borderId="1" xfId="0" applyFont="1" applyFill="1" applyBorder="1" applyAlignment="1">
      <alignment horizontal="left" vertical="center"/>
    </xf>
    <xf numFmtId="164" fontId="11" fillId="10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49" fontId="5" fillId="5" borderId="1" xfId="0" applyNumberFormat="1" applyFont="1" applyFill="1" applyBorder="1" applyAlignment="1">
      <alignment horizontal="right" vertical="center"/>
    </xf>
    <xf numFmtId="167" fontId="12" fillId="4" borderId="1" xfId="0" applyNumberFormat="1" applyFont="1" applyFill="1" applyBorder="1" applyAlignment="1">
      <alignment horizontal="right" vertical="center"/>
    </xf>
    <xf numFmtId="166" fontId="12" fillId="5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49" fontId="12" fillId="5" borderId="1" xfId="0" applyNumberFormat="1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right" vertical="center"/>
    </xf>
    <xf numFmtId="49" fontId="4" fillId="5" borderId="1" xfId="0" applyNumberFormat="1" applyFont="1" applyFill="1" applyBorder="1" applyAlignment="1">
      <alignment horizontal="right" vertical="center"/>
    </xf>
    <xf numFmtId="49" fontId="5" fillId="4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5" borderId="0" xfId="0" applyFill="1"/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showGridLines="0" topLeftCell="A5" workbookViewId="0"/>
  </sheetViews>
  <sheetFormatPr defaultRowHeight="14.4" x14ac:dyDescent="0.55000000000000004"/>
  <cols>
    <col min="1" max="1" width="3" customWidth="1"/>
    <col min="2" max="2" width="32" customWidth="1"/>
    <col min="3" max="6" width="22" customWidth="1"/>
  </cols>
  <sheetData>
    <row r="2" spans="2:6" ht="30" customHeight="1" x14ac:dyDescent="0.55000000000000004">
      <c r="B2" s="58" t="s">
        <v>0</v>
      </c>
      <c r="C2" s="56"/>
      <c r="D2" s="56"/>
      <c r="E2" s="56"/>
      <c r="F2" s="56"/>
    </row>
    <row r="3" spans="2:6" ht="30" customHeight="1" x14ac:dyDescent="0.55000000000000004">
      <c r="B3" s="56"/>
      <c r="C3" s="56"/>
      <c r="D3" s="56"/>
      <c r="E3" s="56"/>
      <c r="F3" s="56"/>
    </row>
    <row r="4" spans="2:6" ht="20.05" customHeight="1" x14ac:dyDescent="0.55000000000000004">
      <c r="B4" s="56"/>
      <c r="C4" s="56"/>
      <c r="D4" s="56"/>
      <c r="E4" s="56"/>
      <c r="F4" s="56"/>
    </row>
    <row r="5" spans="2:6" ht="16" customHeight="1" x14ac:dyDescent="0.55000000000000004">
      <c r="B5" s="60" t="s">
        <v>1</v>
      </c>
      <c r="C5" s="56"/>
      <c r="D5" s="56"/>
      <c r="E5" s="56"/>
      <c r="F5" s="56"/>
    </row>
    <row r="7" spans="2:6" x14ac:dyDescent="0.55000000000000004">
      <c r="B7" s="52" t="s">
        <v>2</v>
      </c>
      <c r="C7" s="53"/>
      <c r="D7" s="53"/>
      <c r="E7" s="53"/>
      <c r="F7" s="54"/>
    </row>
    <row r="8" spans="2:6" x14ac:dyDescent="0.55000000000000004">
      <c r="B8" s="1" t="s">
        <v>3</v>
      </c>
      <c r="C8" s="2" t="s">
        <v>4</v>
      </c>
      <c r="D8" s="57"/>
      <c r="E8" s="56"/>
      <c r="F8" s="56"/>
    </row>
    <row r="9" spans="2:6" x14ac:dyDescent="0.55000000000000004">
      <c r="B9" s="4" t="s">
        <v>5</v>
      </c>
      <c r="C9" s="5" t="s">
        <v>6</v>
      </c>
      <c r="D9" s="55"/>
      <c r="E9" s="56"/>
      <c r="F9" s="56"/>
    </row>
    <row r="10" spans="2:6" x14ac:dyDescent="0.55000000000000004">
      <c r="B10" s="1" t="s">
        <v>7</v>
      </c>
      <c r="C10" s="2" t="s">
        <v>8</v>
      </c>
      <c r="D10" s="57"/>
      <c r="E10" s="56"/>
      <c r="F10" s="56"/>
    </row>
    <row r="11" spans="2:6" x14ac:dyDescent="0.55000000000000004">
      <c r="B11" s="4" t="s">
        <v>9</v>
      </c>
      <c r="C11" s="5" t="s">
        <v>10</v>
      </c>
      <c r="D11" s="55"/>
      <c r="E11" s="56"/>
      <c r="F11" s="56"/>
    </row>
    <row r="12" spans="2:6" x14ac:dyDescent="0.55000000000000004">
      <c r="B12" s="1" t="s">
        <v>11</v>
      </c>
      <c r="C12" s="2" t="s">
        <v>12</v>
      </c>
      <c r="D12" s="57"/>
      <c r="E12" s="56"/>
      <c r="F12" s="56"/>
    </row>
    <row r="13" spans="2:6" x14ac:dyDescent="0.55000000000000004">
      <c r="B13" s="4" t="s">
        <v>13</v>
      </c>
      <c r="C13" s="5" t="s">
        <v>14</v>
      </c>
      <c r="D13" s="55"/>
      <c r="E13" s="56"/>
      <c r="F13" s="56"/>
    </row>
    <row r="14" spans="2:6" x14ac:dyDescent="0.55000000000000004">
      <c r="B14" s="1" t="s">
        <v>15</v>
      </c>
      <c r="C14" s="2" t="s">
        <v>16</v>
      </c>
      <c r="D14" s="57"/>
      <c r="E14" s="56"/>
      <c r="F14" s="56"/>
    </row>
    <row r="15" spans="2:6" x14ac:dyDescent="0.55000000000000004">
      <c r="B15" s="4" t="s">
        <v>17</v>
      </c>
      <c r="C15" s="5" t="s">
        <v>18</v>
      </c>
      <c r="D15" s="55"/>
      <c r="E15" s="56"/>
      <c r="F15" s="56"/>
    </row>
    <row r="16" spans="2:6" x14ac:dyDescent="0.55000000000000004">
      <c r="B16" s="1" t="s">
        <v>19</v>
      </c>
      <c r="C16" s="2" t="s">
        <v>20</v>
      </c>
      <c r="D16" s="57"/>
      <c r="E16" s="56"/>
      <c r="F16" s="56"/>
    </row>
    <row r="17" spans="2:6" x14ac:dyDescent="0.55000000000000004">
      <c r="B17" s="4" t="s">
        <v>21</v>
      </c>
      <c r="C17" s="5" t="s">
        <v>22</v>
      </c>
      <c r="D17" s="55"/>
      <c r="E17" s="56"/>
      <c r="F17" s="56"/>
    </row>
    <row r="19" spans="2:6" x14ac:dyDescent="0.55000000000000004">
      <c r="B19" s="52" t="s">
        <v>23</v>
      </c>
      <c r="C19" s="53"/>
      <c r="D19" s="53"/>
      <c r="E19" s="53"/>
      <c r="F19" s="54"/>
    </row>
    <row r="20" spans="2:6" x14ac:dyDescent="0.55000000000000004">
      <c r="B20" s="1" t="s">
        <v>24</v>
      </c>
      <c r="C20" s="2" t="s">
        <v>25</v>
      </c>
      <c r="D20" s="57"/>
      <c r="E20" s="56"/>
      <c r="F20" s="56"/>
    </row>
    <row r="21" spans="2:6" x14ac:dyDescent="0.55000000000000004">
      <c r="B21" s="4" t="s">
        <v>26</v>
      </c>
      <c r="C21" s="5" t="s">
        <v>27</v>
      </c>
      <c r="D21" s="55"/>
      <c r="E21" s="56"/>
      <c r="F21" s="56"/>
    </row>
    <row r="22" spans="2:6" x14ac:dyDescent="0.55000000000000004">
      <c r="B22" s="1" t="s">
        <v>28</v>
      </c>
      <c r="C22" s="2" t="s">
        <v>29</v>
      </c>
      <c r="D22" s="57"/>
      <c r="E22" s="56"/>
      <c r="F22" s="56"/>
    </row>
    <row r="23" spans="2:6" x14ac:dyDescent="0.55000000000000004">
      <c r="B23" s="4" t="s">
        <v>30</v>
      </c>
      <c r="C23" s="5" t="s">
        <v>31</v>
      </c>
      <c r="D23" s="55"/>
      <c r="E23" s="56"/>
      <c r="F23" s="56"/>
    </row>
    <row r="24" spans="2:6" x14ac:dyDescent="0.55000000000000004">
      <c r="B24" s="1" t="s">
        <v>32</v>
      </c>
      <c r="C24" s="2" t="s">
        <v>33</v>
      </c>
      <c r="D24" s="57"/>
      <c r="E24" s="56"/>
      <c r="F24" s="56"/>
    </row>
    <row r="25" spans="2:6" x14ac:dyDescent="0.55000000000000004">
      <c r="B25" s="4" t="s">
        <v>34</v>
      </c>
      <c r="C25" s="5" t="s">
        <v>35</v>
      </c>
      <c r="D25" s="55"/>
      <c r="E25" s="56"/>
      <c r="F25" s="56"/>
    </row>
    <row r="26" spans="2:6" x14ac:dyDescent="0.55000000000000004">
      <c r="B26" s="1" t="s">
        <v>36</v>
      </c>
      <c r="C26" s="2" t="s">
        <v>10</v>
      </c>
      <c r="D26" s="57"/>
      <c r="E26" s="56"/>
      <c r="F26" s="56"/>
    </row>
    <row r="27" spans="2:6" x14ac:dyDescent="0.55000000000000004">
      <c r="B27" s="4" t="s">
        <v>37</v>
      </c>
      <c r="C27" s="5" t="s">
        <v>38</v>
      </c>
      <c r="D27" s="55"/>
      <c r="E27" s="56"/>
      <c r="F27" s="56"/>
    </row>
    <row r="30" spans="2:6" ht="28" customHeight="1" x14ac:dyDescent="0.55000000000000004">
      <c r="B30" s="59" t="s">
        <v>39</v>
      </c>
      <c r="C30" s="56"/>
      <c r="D30" s="56"/>
      <c r="E30" s="56"/>
      <c r="F30" s="56"/>
    </row>
  </sheetData>
  <mergeCells count="23">
    <mergeCell ref="B30:F30"/>
    <mergeCell ref="D22:F22"/>
    <mergeCell ref="B5:F5"/>
    <mergeCell ref="D21:F21"/>
    <mergeCell ref="B2:F4"/>
    <mergeCell ref="D12:F12"/>
    <mergeCell ref="D9:F9"/>
    <mergeCell ref="D8:F8"/>
    <mergeCell ref="D25:F25"/>
    <mergeCell ref="D15:F15"/>
    <mergeCell ref="D24:F24"/>
    <mergeCell ref="D14:F14"/>
    <mergeCell ref="D23:F23"/>
    <mergeCell ref="B19:F19"/>
    <mergeCell ref="D20:F20"/>
    <mergeCell ref="D10:F10"/>
    <mergeCell ref="B7:F7"/>
    <mergeCell ref="D11:F11"/>
    <mergeCell ref="D13:F13"/>
    <mergeCell ref="D27:F27"/>
    <mergeCell ref="D17:F17"/>
    <mergeCell ref="D16:F16"/>
    <mergeCell ref="D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0"/>
  <sheetViews>
    <sheetView showGridLines="0" workbookViewId="0"/>
  </sheetViews>
  <sheetFormatPr defaultRowHeight="14.4" x14ac:dyDescent="0.55000000000000004"/>
  <cols>
    <col min="1" max="1" width="2" customWidth="1"/>
    <col min="2" max="2" width="36" customWidth="1"/>
    <col min="3" max="3" width="20" customWidth="1"/>
    <col min="4" max="9" width="16" customWidth="1"/>
  </cols>
  <sheetData>
    <row r="1" spans="2:8" ht="22" customHeight="1" x14ac:dyDescent="0.55000000000000004">
      <c r="B1" s="61" t="s">
        <v>40</v>
      </c>
      <c r="C1" s="56"/>
      <c r="D1" s="56"/>
      <c r="E1" s="56"/>
      <c r="F1" s="56"/>
      <c r="G1" s="56"/>
      <c r="H1" s="56"/>
    </row>
    <row r="3" spans="2:8" x14ac:dyDescent="0.55000000000000004">
      <c r="B3" s="52" t="s">
        <v>41</v>
      </c>
      <c r="C3" s="53"/>
      <c r="D3" s="53"/>
      <c r="E3" s="54"/>
    </row>
    <row r="4" spans="2:8" x14ac:dyDescent="0.55000000000000004">
      <c r="B4" s="6" t="s">
        <v>30</v>
      </c>
      <c r="C4" s="7">
        <v>3534</v>
      </c>
      <c r="D4" s="57"/>
      <c r="E4" s="56"/>
      <c r="F4" s="56"/>
    </row>
    <row r="5" spans="2:8" x14ac:dyDescent="0.55000000000000004">
      <c r="B5" s="8" t="s">
        <v>42</v>
      </c>
      <c r="C5" s="9">
        <v>10.5</v>
      </c>
      <c r="D5" s="55"/>
      <c r="E5" s="56"/>
      <c r="F5" s="56"/>
    </row>
    <row r="6" spans="2:8" x14ac:dyDescent="0.55000000000000004">
      <c r="B6" s="6" t="s">
        <v>7</v>
      </c>
      <c r="C6" s="7">
        <v>37107</v>
      </c>
      <c r="D6" s="57"/>
      <c r="E6" s="56"/>
      <c r="F6" s="56"/>
    </row>
    <row r="7" spans="2:8" x14ac:dyDescent="0.55000000000000004">
      <c r="B7" s="8" t="s">
        <v>43</v>
      </c>
      <c r="C7" s="10">
        <v>6512</v>
      </c>
      <c r="D7" s="55"/>
      <c r="E7" s="56"/>
      <c r="F7" s="56"/>
    </row>
    <row r="8" spans="2:8" x14ac:dyDescent="0.55000000000000004">
      <c r="B8" s="6" t="s">
        <v>34</v>
      </c>
      <c r="C8" s="7">
        <v>21500</v>
      </c>
      <c r="D8" s="57"/>
      <c r="E8" s="56"/>
      <c r="F8" s="56"/>
    </row>
    <row r="9" spans="2:8" x14ac:dyDescent="0.55000000000000004">
      <c r="B9" s="8" t="s">
        <v>36</v>
      </c>
      <c r="C9" s="10">
        <v>16751.088500000002</v>
      </c>
      <c r="D9" s="55"/>
      <c r="E9" s="56"/>
      <c r="F9" s="56"/>
    </row>
    <row r="10" spans="2:8" x14ac:dyDescent="0.55000000000000004">
      <c r="B10" s="6" t="s">
        <v>44</v>
      </c>
      <c r="C10" s="11">
        <v>6.0837577815506512</v>
      </c>
      <c r="D10" s="57"/>
      <c r="E10" s="56"/>
      <c r="F10" s="56"/>
    </row>
    <row r="11" spans="2:8" x14ac:dyDescent="0.55000000000000004">
      <c r="B11" s="8" t="s">
        <v>45</v>
      </c>
      <c r="C11" s="12">
        <v>6</v>
      </c>
      <c r="D11" s="55"/>
      <c r="E11" s="56"/>
      <c r="F11" s="56"/>
    </row>
    <row r="12" spans="2:8" x14ac:dyDescent="0.55000000000000004">
      <c r="B12" s="6" t="s">
        <v>46</v>
      </c>
      <c r="C12" s="13">
        <v>12.5</v>
      </c>
      <c r="D12" s="57"/>
      <c r="E12" s="56"/>
      <c r="F12" s="56"/>
    </row>
    <row r="13" spans="2:8" x14ac:dyDescent="0.55000000000000004">
      <c r="B13" s="8" t="s">
        <v>47</v>
      </c>
      <c r="C13" s="14">
        <v>0.22800000000000001</v>
      </c>
      <c r="D13" s="55"/>
      <c r="E13" s="56"/>
      <c r="F13" s="56"/>
    </row>
    <row r="14" spans="2:8" x14ac:dyDescent="0.55000000000000004">
      <c r="B14" s="6" t="s">
        <v>48</v>
      </c>
      <c r="C14" s="15">
        <v>1</v>
      </c>
      <c r="D14" s="57"/>
      <c r="E14" s="56"/>
      <c r="F14" s="56"/>
    </row>
    <row r="15" spans="2:8" x14ac:dyDescent="0.55000000000000004">
      <c r="B15" s="8" t="s">
        <v>49</v>
      </c>
      <c r="C15" s="10">
        <v>300</v>
      </c>
      <c r="D15" s="55"/>
      <c r="E15" s="56"/>
      <c r="F15" s="56"/>
    </row>
    <row r="17" spans="2:9" x14ac:dyDescent="0.55000000000000004">
      <c r="B17" s="52" t="s">
        <v>50</v>
      </c>
      <c r="C17" s="53"/>
      <c r="D17" s="53"/>
      <c r="E17" s="53"/>
      <c r="F17" s="53"/>
      <c r="G17" s="53"/>
      <c r="H17" s="54"/>
    </row>
    <row r="18" spans="2:9" x14ac:dyDescent="0.55000000000000004">
      <c r="B18" s="16" t="s">
        <v>51</v>
      </c>
      <c r="C18" s="16" t="s">
        <v>52</v>
      </c>
      <c r="D18" s="16" t="s">
        <v>53</v>
      </c>
      <c r="E18" s="16" t="s">
        <v>54</v>
      </c>
      <c r="F18" s="16" t="s">
        <v>55</v>
      </c>
      <c r="G18" s="16" t="s">
        <v>56</v>
      </c>
      <c r="H18" s="16" t="s">
        <v>57</v>
      </c>
    </row>
    <row r="19" spans="2:9" x14ac:dyDescent="0.55000000000000004">
      <c r="B19" s="6" t="s">
        <v>58</v>
      </c>
      <c r="C19" s="7">
        <v>500</v>
      </c>
      <c r="D19" s="2" t="s">
        <v>59</v>
      </c>
      <c r="E19" s="17">
        <v>7.8E-2</v>
      </c>
      <c r="F19" s="18">
        <v>5</v>
      </c>
      <c r="G19" s="19">
        <v>0</v>
      </c>
      <c r="H19" s="17">
        <v>5.0000000000000001E-3</v>
      </c>
    </row>
    <row r="20" spans="2:9" x14ac:dyDescent="0.55000000000000004">
      <c r="B20" s="8" t="s">
        <v>60</v>
      </c>
      <c r="C20" s="10">
        <v>4000</v>
      </c>
      <c r="D20" s="5" t="s">
        <v>61</v>
      </c>
      <c r="E20" s="20">
        <v>8.0500000000000002E-2</v>
      </c>
      <c r="F20" s="12">
        <v>5</v>
      </c>
      <c r="G20" s="14">
        <v>0.05</v>
      </c>
      <c r="H20" s="20">
        <v>0.01</v>
      </c>
    </row>
    <row r="21" spans="2:9" x14ac:dyDescent="0.55000000000000004">
      <c r="B21" s="6" t="s">
        <v>62</v>
      </c>
      <c r="C21" s="7">
        <v>8000</v>
      </c>
      <c r="D21" s="2" t="s">
        <v>63</v>
      </c>
      <c r="E21" s="17">
        <v>9.2999999999999999E-2</v>
      </c>
      <c r="F21" s="18">
        <v>7</v>
      </c>
      <c r="G21" s="19">
        <v>0.01</v>
      </c>
      <c r="H21" s="17">
        <v>0.02</v>
      </c>
    </row>
    <row r="22" spans="2:9" x14ac:dyDescent="0.55000000000000004">
      <c r="B22" s="8" t="s">
        <v>64</v>
      </c>
      <c r="C22" s="10">
        <v>5500</v>
      </c>
      <c r="D22" s="5" t="s">
        <v>65</v>
      </c>
      <c r="E22" s="20">
        <v>7.2499999999999995E-2</v>
      </c>
      <c r="F22" s="12">
        <v>8</v>
      </c>
      <c r="G22" s="14">
        <v>0</v>
      </c>
      <c r="H22" s="20">
        <v>1.4999999999999999E-2</v>
      </c>
    </row>
    <row r="23" spans="2:9" x14ac:dyDescent="0.55000000000000004">
      <c r="B23" s="6" t="s">
        <v>66</v>
      </c>
      <c r="C23" s="7">
        <v>3500</v>
      </c>
      <c r="D23" s="2" t="s">
        <v>65</v>
      </c>
      <c r="E23" s="17">
        <v>0.09</v>
      </c>
      <c r="F23" s="18">
        <v>10</v>
      </c>
      <c r="G23" s="19">
        <v>0</v>
      </c>
      <c r="H23" s="17">
        <v>0.02</v>
      </c>
    </row>
    <row r="25" spans="2:9" x14ac:dyDescent="0.55000000000000004">
      <c r="B25" s="52" t="s">
        <v>67</v>
      </c>
      <c r="C25" s="53"/>
      <c r="D25" s="53"/>
      <c r="E25" s="53"/>
      <c r="F25" s="53"/>
      <c r="G25" s="53"/>
      <c r="H25" s="53"/>
      <c r="I25" s="54"/>
    </row>
    <row r="26" spans="2:9" x14ac:dyDescent="0.55000000000000004">
      <c r="B26" s="21" t="s">
        <v>68</v>
      </c>
      <c r="C26" s="22" t="s">
        <v>69</v>
      </c>
      <c r="D26" s="22" t="s">
        <v>70</v>
      </c>
      <c r="E26" s="22" t="s">
        <v>71</v>
      </c>
      <c r="F26" s="22" t="s">
        <v>72</v>
      </c>
      <c r="G26" s="22" t="s">
        <v>73</v>
      </c>
      <c r="H26" s="22" t="s">
        <v>74</v>
      </c>
    </row>
    <row r="27" spans="2:9" x14ac:dyDescent="0.55000000000000004">
      <c r="B27" s="6" t="s">
        <v>75</v>
      </c>
      <c r="C27" s="19">
        <v>4.4999999999999998E-2</v>
      </c>
      <c r="D27" s="19">
        <v>4.8000000000000001E-2</v>
      </c>
      <c r="E27" s="19">
        <v>5.0999999999999997E-2</v>
      </c>
      <c r="F27" s="19">
        <v>5.3999999999999999E-2</v>
      </c>
      <c r="G27" s="19">
        <v>5.7000000000000002E-2</v>
      </c>
      <c r="H27" s="19">
        <v>0.06</v>
      </c>
    </row>
    <row r="28" spans="2:9" x14ac:dyDescent="0.55000000000000004">
      <c r="B28" s="8" t="s">
        <v>76</v>
      </c>
      <c r="C28" s="14">
        <v>9.8000000000000004E-2</v>
      </c>
      <c r="D28" s="14">
        <v>0.10059999999999999</v>
      </c>
      <c r="E28" s="14">
        <v>0.1032</v>
      </c>
      <c r="F28" s="14">
        <v>0.10580000000000001</v>
      </c>
      <c r="G28" s="14">
        <v>0.1084</v>
      </c>
      <c r="H28" s="14">
        <v>0.111</v>
      </c>
    </row>
    <row r="29" spans="2:9" x14ac:dyDescent="0.55000000000000004">
      <c r="B29" s="6" t="s">
        <v>77</v>
      </c>
      <c r="C29" s="19">
        <v>3.5499999999999997E-2</v>
      </c>
      <c r="D29" s="19">
        <v>3.4500000000000003E-2</v>
      </c>
      <c r="E29" s="19">
        <v>3.3500000000000002E-2</v>
      </c>
      <c r="F29" s="19">
        <v>3.2499999999999987E-2</v>
      </c>
      <c r="G29" s="19">
        <v>3.15E-2</v>
      </c>
      <c r="H29" s="19">
        <v>3.0499999999999999E-2</v>
      </c>
    </row>
    <row r="30" spans="2:9" x14ac:dyDescent="0.55000000000000004">
      <c r="B30" s="8" t="s">
        <v>78</v>
      </c>
      <c r="C30" s="14">
        <v>4.1000000000000002E-2</v>
      </c>
      <c r="D30" s="14">
        <v>3.95E-2</v>
      </c>
      <c r="E30" s="14">
        <v>3.7999999999999999E-2</v>
      </c>
      <c r="F30" s="14">
        <v>3.6499999999999998E-2</v>
      </c>
      <c r="G30" s="14">
        <v>3.5000000000000003E-2</v>
      </c>
      <c r="H30" s="14">
        <v>3.3500000000000002E-2</v>
      </c>
    </row>
  </sheetData>
  <mergeCells count="16">
    <mergeCell ref="B17:H17"/>
    <mergeCell ref="B25:I25"/>
    <mergeCell ref="D4:F4"/>
    <mergeCell ref="D12:F12"/>
    <mergeCell ref="D9:F9"/>
    <mergeCell ref="D7:F7"/>
    <mergeCell ref="D8:F8"/>
    <mergeCell ref="D6:F6"/>
    <mergeCell ref="D15:F15"/>
    <mergeCell ref="D10:F10"/>
    <mergeCell ref="D11:F11"/>
    <mergeCell ref="D13:F13"/>
    <mergeCell ref="D14:F14"/>
    <mergeCell ref="D5:F5"/>
    <mergeCell ref="B1:H1"/>
    <mergeCell ref="B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3"/>
  <sheetViews>
    <sheetView showGridLines="0" workbookViewId="0"/>
  </sheetViews>
  <sheetFormatPr defaultRowHeight="14.4" x14ac:dyDescent="0.55000000000000004"/>
  <cols>
    <col min="1" max="1" width="3" customWidth="1"/>
    <col min="2" max="2" width="38" customWidth="1"/>
    <col min="3" max="3" width="18" customWidth="1"/>
    <col min="4" max="4" width="12" customWidth="1"/>
    <col min="5" max="5" width="4" customWidth="1"/>
    <col min="6" max="6" width="38" customWidth="1"/>
    <col min="7" max="7" width="18" customWidth="1"/>
    <col min="8" max="8" width="12" customWidth="1"/>
  </cols>
  <sheetData>
    <row r="1" spans="2:8" ht="22" customHeight="1" x14ac:dyDescent="0.55000000000000004">
      <c r="B1" s="61" t="s">
        <v>79</v>
      </c>
      <c r="C1" s="56"/>
      <c r="D1" s="56"/>
      <c r="E1" s="56"/>
      <c r="F1" s="56"/>
      <c r="G1" s="56"/>
      <c r="H1" s="56"/>
    </row>
    <row r="3" spans="2:8" x14ac:dyDescent="0.55000000000000004">
      <c r="B3" s="16" t="s">
        <v>80</v>
      </c>
      <c r="C3" s="16" t="s">
        <v>81</v>
      </c>
      <c r="D3" s="16" t="s">
        <v>82</v>
      </c>
      <c r="F3" s="16" t="s">
        <v>83</v>
      </c>
      <c r="G3" s="16" t="s">
        <v>81</v>
      </c>
      <c r="H3" s="16" t="s">
        <v>82</v>
      </c>
    </row>
    <row r="4" spans="2:8" x14ac:dyDescent="0.55000000000000004">
      <c r="B4" s="6" t="s">
        <v>84</v>
      </c>
      <c r="C4" s="7">
        <v>500</v>
      </c>
      <c r="D4" s="2" t="s">
        <v>85</v>
      </c>
      <c r="E4" s="3"/>
      <c r="F4" s="6" t="s">
        <v>86</v>
      </c>
      <c r="G4" s="7">
        <v>30595</v>
      </c>
      <c r="H4" s="2" t="s">
        <v>87</v>
      </c>
    </row>
    <row r="5" spans="2:8" x14ac:dyDescent="0.55000000000000004">
      <c r="B5" s="8" t="s">
        <v>88</v>
      </c>
      <c r="C5" s="10">
        <v>4000</v>
      </c>
      <c r="D5" s="5" t="s">
        <v>89</v>
      </c>
      <c r="E5" s="3"/>
      <c r="F5" s="8" t="s">
        <v>90</v>
      </c>
      <c r="G5" s="10">
        <v>6797</v>
      </c>
      <c r="H5" s="5" t="s">
        <v>91</v>
      </c>
    </row>
    <row r="6" spans="2:8" x14ac:dyDescent="0.55000000000000004">
      <c r="B6" s="6" t="s">
        <v>92</v>
      </c>
      <c r="C6" s="7">
        <v>8000</v>
      </c>
      <c r="D6" s="2" t="s">
        <v>93</v>
      </c>
      <c r="E6" s="3"/>
      <c r="F6" s="6" t="s">
        <v>94</v>
      </c>
      <c r="G6" s="7">
        <v>204.1</v>
      </c>
      <c r="H6" s="2" t="s">
        <v>95</v>
      </c>
    </row>
    <row r="7" spans="2:8" x14ac:dyDescent="0.55000000000000004">
      <c r="B7" s="8" t="s">
        <v>96</v>
      </c>
      <c r="C7" s="10">
        <v>5500</v>
      </c>
      <c r="D7" s="5" t="s">
        <v>97</v>
      </c>
      <c r="E7" s="3"/>
      <c r="F7" s="8" t="s">
        <v>98</v>
      </c>
      <c r="G7" s="10">
        <v>355</v>
      </c>
      <c r="H7" s="5" t="s">
        <v>99</v>
      </c>
    </row>
    <row r="8" spans="2:8" x14ac:dyDescent="0.55000000000000004">
      <c r="B8" s="6" t="s">
        <v>100</v>
      </c>
      <c r="C8" s="7">
        <v>3500</v>
      </c>
      <c r="D8" s="2" t="s">
        <v>101</v>
      </c>
      <c r="E8" s="3"/>
      <c r="F8" s="6" t="s">
        <v>102</v>
      </c>
      <c r="G8" s="7">
        <v>300</v>
      </c>
      <c r="H8" s="2" t="s">
        <v>103</v>
      </c>
    </row>
    <row r="9" spans="2:8" x14ac:dyDescent="0.55000000000000004">
      <c r="B9" s="8" t="s">
        <v>104</v>
      </c>
      <c r="C9" s="10">
        <v>16751.088500000002</v>
      </c>
      <c r="D9" s="5" t="s">
        <v>38</v>
      </c>
      <c r="E9" s="3"/>
      <c r="F9" s="21" t="s">
        <v>105</v>
      </c>
      <c r="G9" s="23">
        <f>SUM(G4:G8)</f>
        <v>38251.1</v>
      </c>
      <c r="H9" s="24" t="s">
        <v>106</v>
      </c>
    </row>
    <row r="10" spans="2:8" x14ac:dyDescent="0.55000000000000004">
      <c r="B10" s="21" t="s">
        <v>107</v>
      </c>
      <c r="C10" s="23">
        <f>SUM(C4:C9)</f>
        <v>38251.088499999998</v>
      </c>
      <c r="D10" s="24" t="s">
        <v>106</v>
      </c>
      <c r="E10" s="3"/>
      <c r="F10" s="3"/>
      <c r="G10" s="3"/>
      <c r="H10" s="3"/>
    </row>
    <row r="13" spans="2:8" x14ac:dyDescent="0.55000000000000004">
      <c r="B13" s="62" t="s">
        <v>108</v>
      </c>
      <c r="C13" s="56"/>
      <c r="D13" s="56"/>
      <c r="E13" s="56"/>
      <c r="F13" s="56"/>
      <c r="G13" s="56"/>
      <c r="H13" s="56"/>
    </row>
  </sheetData>
  <mergeCells count="2">
    <mergeCell ref="B1:H1"/>
    <mergeCell ref="B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9"/>
  <sheetViews>
    <sheetView showGridLines="0" topLeftCell="A16" workbookViewId="0"/>
  </sheetViews>
  <sheetFormatPr defaultRowHeight="14.4" x14ac:dyDescent="0.55000000000000004"/>
  <cols>
    <col min="1" max="1" width="3" customWidth="1"/>
    <col min="2" max="2" width="32" customWidth="1"/>
    <col min="3" max="8" width="16" customWidth="1"/>
  </cols>
  <sheetData>
    <row r="1" spans="2:8" ht="22" customHeight="1" x14ac:dyDescent="0.55000000000000004">
      <c r="B1" s="61" t="s">
        <v>109</v>
      </c>
      <c r="C1" s="56"/>
      <c r="D1" s="56"/>
      <c r="E1" s="56"/>
      <c r="F1" s="56"/>
      <c r="G1" s="56"/>
      <c r="H1" s="56"/>
    </row>
    <row r="3" spans="2:8" x14ac:dyDescent="0.55000000000000004">
      <c r="B3" s="21" t="s">
        <v>110</v>
      </c>
      <c r="C3" s="22" t="s">
        <v>69</v>
      </c>
      <c r="D3" s="22" t="s">
        <v>70</v>
      </c>
      <c r="E3" s="22" t="s">
        <v>71</v>
      </c>
      <c r="F3" s="22" t="s">
        <v>72</v>
      </c>
      <c r="G3" s="22" t="s">
        <v>73</v>
      </c>
      <c r="H3" s="22" t="s">
        <v>74</v>
      </c>
    </row>
    <row r="4" spans="2:8" x14ac:dyDescent="0.55000000000000004">
      <c r="B4" s="63" t="s">
        <v>111</v>
      </c>
      <c r="C4" s="53"/>
      <c r="D4" s="53"/>
      <c r="E4" s="53"/>
      <c r="F4" s="53"/>
      <c r="G4" s="54"/>
    </row>
    <row r="5" spans="2:8" x14ac:dyDescent="0.55000000000000004">
      <c r="B5" s="25" t="s">
        <v>112</v>
      </c>
      <c r="C5" s="26">
        <v>37844</v>
      </c>
      <c r="D5" s="27"/>
      <c r="E5" s="27"/>
      <c r="F5" s="27"/>
      <c r="G5" s="27"/>
      <c r="H5" s="27"/>
    </row>
    <row r="6" spans="2:8" x14ac:dyDescent="0.55000000000000004">
      <c r="B6" s="25" t="s">
        <v>75</v>
      </c>
      <c r="C6" s="28">
        <v>4.4999999999999998E-2</v>
      </c>
      <c r="D6" s="28">
        <v>4.8000000000000001E-2</v>
      </c>
      <c r="E6" s="28">
        <v>5.0999999999999997E-2</v>
      </c>
      <c r="F6" s="28">
        <v>5.3999999999999999E-2</v>
      </c>
      <c r="G6" s="28">
        <v>5.7000000000000002E-2</v>
      </c>
      <c r="H6" s="28">
        <v>0.06</v>
      </c>
    </row>
    <row r="7" spans="2:8" x14ac:dyDescent="0.55000000000000004">
      <c r="B7" s="8" t="s">
        <v>76</v>
      </c>
      <c r="C7" s="29">
        <v>9.8000000000000004E-2</v>
      </c>
      <c r="D7" s="29">
        <v>0.10059999999999999</v>
      </c>
      <c r="E7" s="29">
        <v>0.1032</v>
      </c>
      <c r="F7" s="29">
        <v>0.10580000000000001</v>
      </c>
      <c r="G7" s="29">
        <v>0.1084</v>
      </c>
      <c r="H7" s="29">
        <v>0.111</v>
      </c>
    </row>
    <row r="8" spans="2:8" x14ac:dyDescent="0.55000000000000004">
      <c r="B8" s="25" t="s">
        <v>77</v>
      </c>
      <c r="C8" s="28">
        <v>3.5499999999999997E-2</v>
      </c>
      <c r="D8" s="28">
        <v>3.4500000000000003E-2</v>
      </c>
      <c r="E8" s="28">
        <v>3.3500000000000002E-2</v>
      </c>
      <c r="F8" s="28">
        <v>3.2499999999999987E-2</v>
      </c>
      <c r="G8" s="28">
        <v>3.15E-2</v>
      </c>
      <c r="H8" s="28">
        <v>3.0499999999999999E-2</v>
      </c>
    </row>
    <row r="9" spans="2:8" x14ac:dyDescent="0.55000000000000004">
      <c r="B9" s="8" t="s">
        <v>113</v>
      </c>
      <c r="C9" s="29">
        <v>0.30399999999999999</v>
      </c>
      <c r="D9" s="29">
        <v>0.30599999999999999</v>
      </c>
      <c r="E9" s="29">
        <v>0.308</v>
      </c>
      <c r="F9" s="29">
        <v>0.31</v>
      </c>
      <c r="G9" s="29">
        <v>0.312</v>
      </c>
      <c r="H9" s="29">
        <v>0.314</v>
      </c>
    </row>
    <row r="10" spans="2:8" x14ac:dyDescent="0.55000000000000004">
      <c r="B10" s="25" t="s">
        <v>47</v>
      </c>
      <c r="C10" s="28">
        <v>0.22800000000000001</v>
      </c>
      <c r="D10" s="30">
        <f>$C$10</f>
        <v>0.22800000000000001</v>
      </c>
      <c r="E10" s="30">
        <f>$C$10</f>
        <v>0.22800000000000001</v>
      </c>
      <c r="F10" s="30">
        <f>$C$10</f>
        <v>0.22800000000000001</v>
      </c>
      <c r="G10" s="30">
        <f>$C$10</f>
        <v>0.22800000000000001</v>
      </c>
      <c r="H10" s="30">
        <f>$C$10</f>
        <v>0.22800000000000001</v>
      </c>
    </row>
    <row r="11" spans="2:8" x14ac:dyDescent="0.55000000000000004">
      <c r="B11" s="8" t="s">
        <v>114</v>
      </c>
      <c r="C11" s="31">
        <v>20</v>
      </c>
      <c r="D11" s="31">
        <v>20</v>
      </c>
      <c r="E11" s="31">
        <v>20</v>
      </c>
      <c r="F11" s="31">
        <v>20</v>
      </c>
      <c r="G11" s="31">
        <v>20</v>
      </c>
      <c r="H11" s="31">
        <v>20</v>
      </c>
    </row>
    <row r="12" spans="2:8" x14ac:dyDescent="0.55000000000000004">
      <c r="B12" s="32"/>
      <c r="C12" s="32"/>
      <c r="D12" s="32"/>
      <c r="E12" s="32"/>
      <c r="F12" s="32"/>
      <c r="G12" s="32"/>
      <c r="H12" s="32"/>
    </row>
    <row r="13" spans="2:8" x14ac:dyDescent="0.55000000000000004">
      <c r="B13" s="52" t="s">
        <v>115</v>
      </c>
      <c r="C13" s="53"/>
      <c r="D13" s="53"/>
      <c r="E13" s="53"/>
      <c r="F13" s="53"/>
      <c r="G13" s="54"/>
    </row>
    <row r="14" spans="2:8" x14ac:dyDescent="0.55000000000000004">
      <c r="B14" s="33" t="s">
        <v>116</v>
      </c>
      <c r="C14" s="34">
        <f>$C$5*(1+C6)</f>
        <v>39546.979999999996</v>
      </c>
      <c r="D14" s="34">
        <f>C14*(1+D6)</f>
        <v>41445.23504</v>
      </c>
      <c r="E14" s="34">
        <f>D14*(1+E6)</f>
        <v>43558.942027039993</v>
      </c>
      <c r="F14" s="34">
        <f>E14*(1+F6)</f>
        <v>45911.124896500158</v>
      </c>
      <c r="G14" s="34">
        <f>F14*(1+G6)</f>
        <v>48528.059015600666</v>
      </c>
      <c r="H14" s="34">
        <f>G14*(1+H6)</f>
        <v>51439.742556536708</v>
      </c>
    </row>
    <row r="15" spans="2:8" x14ac:dyDescent="0.55000000000000004">
      <c r="B15" s="6" t="s">
        <v>117</v>
      </c>
      <c r="C15" s="7">
        <f t="shared" ref="C15:H15" si="0">C14*(1-C9)</f>
        <v>27524.698079999995</v>
      </c>
      <c r="D15" s="7">
        <f t="shared" si="0"/>
        <v>28762.993117759997</v>
      </c>
      <c r="E15" s="7">
        <f t="shared" si="0"/>
        <v>30142.787882711673</v>
      </c>
      <c r="F15" s="7">
        <f t="shared" si="0"/>
        <v>31678.676178585105</v>
      </c>
      <c r="G15" s="7">
        <f t="shared" si="0"/>
        <v>33387.304602733253</v>
      </c>
      <c r="H15" s="7">
        <f t="shared" si="0"/>
        <v>35287.663393784176</v>
      </c>
    </row>
    <row r="16" spans="2:8" x14ac:dyDescent="0.55000000000000004">
      <c r="B16" s="33" t="s">
        <v>118</v>
      </c>
      <c r="C16" s="34">
        <f t="shared" ref="C16:H16" si="1">C14-C15</f>
        <v>12022.281920000001</v>
      </c>
      <c r="D16" s="34">
        <f t="shared" si="1"/>
        <v>12682.241922240002</v>
      </c>
      <c r="E16" s="34">
        <f t="shared" si="1"/>
        <v>13416.15414432832</v>
      </c>
      <c r="F16" s="34">
        <f t="shared" si="1"/>
        <v>14232.448717915053</v>
      </c>
      <c r="G16" s="34">
        <f t="shared" si="1"/>
        <v>15140.754412867413</v>
      </c>
      <c r="H16" s="34">
        <f t="shared" si="1"/>
        <v>16152.079162752532</v>
      </c>
    </row>
    <row r="17" spans="2:8" x14ac:dyDescent="0.55000000000000004">
      <c r="B17" s="6" t="s">
        <v>119</v>
      </c>
      <c r="C17" s="19">
        <f t="shared" ref="C17:H17" si="2">C16/C14</f>
        <v>0.30400000000000005</v>
      </c>
      <c r="D17" s="19">
        <f t="shared" si="2"/>
        <v>0.30600000000000005</v>
      </c>
      <c r="E17" s="19">
        <f t="shared" si="2"/>
        <v>0.30800000000000005</v>
      </c>
      <c r="F17" s="19">
        <f t="shared" si="2"/>
        <v>0.31000000000000011</v>
      </c>
      <c r="G17" s="19">
        <f t="shared" si="2"/>
        <v>0.31200000000000011</v>
      </c>
      <c r="H17" s="19">
        <f t="shared" si="2"/>
        <v>0.31400000000000011</v>
      </c>
    </row>
    <row r="18" spans="2:8" x14ac:dyDescent="0.55000000000000004">
      <c r="B18" s="33" t="s">
        <v>120</v>
      </c>
      <c r="C18" s="34">
        <f t="shared" ref="C18:H18" si="3">C14*C7</f>
        <v>3875.6040399999997</v>
      </c>
      <c r="D18" s="34">
        <f t="shared" si="3"/>
        <v>4169.3906450240002</v>
      </c>
      <c r="E18" s="34">
        <f t="shared" si="3"/>
        <v>4495.2828171905276</v>
      </c>
      <c r="F18" s="34">
        <f t="shared" si="3"/>
        <v>4857.3970140497167</v>
      </c>
      <c r="G18" s="34">
        <f t="shared" si="3"/>
        <v>5260.441597291112</v>
      </c>
      <c r="H18" s="34">
        <f t="shared" si="3"/>
        <v>5709.8114237755744</v>
      </c>
    </row>
    <row r="19" spans="2:8" x14ac:dyDescent="0.55000000000000004">
      <c r="B19" s="6" t="s">
        <v>121</v>
      </c>
      <c r="C19" s="19">
        <f t="shared" ref="C19:H19" si="4">C18/C14</f>
        <v>9.8000000000000004E-2</v>
      </c>
      <c r="D19" s="19">
        <f t="shared" si="4"/>
        <v>0.10060000000000001</v>
      </c>
      <c r="E19" s="19">
        <f t="shared" si="4"/>
        <v>0.1032</v>
      </c>
      <c r="F19" s="19">
        <f t="shared" si="4"/>
        <v>0.10580000000000001</v>
      </c>
      <c r="G19" s="19">
        <f t="shared" si="4"/>
        <v>0.1084</v>
      </c>
      <c r="H19" s="19">
        <f t="shared" si="4"/>
        <v>0.111</v>
      </c>
    </row>
    <row r="20" spans="2:8" x14ac:dyDescent="0.55000000000000004">
      <c r="B20" s="8" t="s">
        <v>122</v>
      </c>
      <c r="C20" s="10">
        <f t="shared" ref="C20:H20" si="5">C11</f>
        <v>20</v>
      </c>
      <c r="D20" s="10">
        <f t="shared" si="5"/>
        <v>20</v>
      </c>
      <c r="E20" s="10">
        <f t="shared" si="5"/>
        <v>20</v>
      </c>
      <c r="F20" s="10">
        <f t="shared" si="5"/>
        <v>20</v>
      </c>
      <c r="G20" s="10">
        <f t="shared" si="5"/>
        <v>20</v>
      </c>
      <c r="H20" s="10">
        <f t="shared" si="5"/>
        <v>20</v>
      </c>
    </row>
    <row r="21" spans="2:8" x14ac:dyDescent="0.55000000000000004">
      <c r="B21" s="1" t="s">
        <v>123</v>
      </c>
      <c r="C21" s="35">
        <f t="shared" ref="C21:H21" si="6">C18+C20</f>
        <v>3895.6040399999997</v>
      </c>
      <c r="D21" s="35">
        <f t="shared" si="6"/>
        <v>4189.3906450240002</v>
      </c>
      <c r="E21" s="35">
        <f t="shared" si="6"/>
        <v>4515.2828171905276</v>
      </c>
      <c r="F21" s="35">
        <f t="shared" si="6"/>
        <v>4877.3970140497167</v>
      </c>
      <c r="G21" s="35">
        <f t="shared" si="6"/>
        <v>5280.441597291112</v>
      </c>
      <c r="H21" s="35">
        <f t="shared" si="6"/>
        <v>5729.8114237755744</v>
      </c>
    </row>
    <row r="22" spans="2:8" x14ac:dyDescent="0.55000000000000004">
      <c r="B22" s="8" t="s">
        <v>124</v>
      </c>
      <c r="C22" s="10">
        <f t="shared" ref="C22:H22" si="7">C14*C8</f>
        <v>1403.9177899999997</v>
      </c>
      <c r="D22" s="10">
        <f t="shared" si="7"/>
        <v>1429.8606088800002</v>
      </c>
      <c r="E22" s="10">
        <f t="shared" si="7"/>
        <v>1459.2245579058399</v>
      </c>
      <c r="F22" s="10">
        <f t="shared" si="7"/>
        <v>1492.1115591362545</v>
      </c>
      <c r="G22" s="10">
        <f t="shared" si="7"/>
        <v>1528.633858991421</v>
      </c>
      <c r="H22" s="10">
        <f t="shared" si="7"/>
        <v>1568.9121479743696</v>
      </c>
    </row>
    <row r="23" spans="2:8" x14ac:dyDescent="0.55000000000000004">
      <c r="B23" s="33" t="s">
        <v>125</v>
      </c>
      <c r="C23" s="34">
        <f t="shared" ref="C23:H23" si="8">C18-C22</f>
        <v>2471.6862499999997</v>
      </c>
      <c r="D23" s="34">
        <f t="shared" si="8"/>
        <v>2739.530036144</v>
      </c>
      <c r="E23" s="34">
        <f t="shared" si="8"/>
        <v>3036.0582592846877</v>
      </c>
      <c r="F23" s="34">
        <f t="shared" si="8"/>
        <v>3365.2854549134622</v>
      </c>
      <c r="G23" s="34">
        <f t="shared" si="8"/>
        <v>3731.8077382996908</v>
      </c>
      <c r="H23" s="34">
        <f t="shared" si="8"/>
        <v>4140.8992758012046</v>
      </c>
    </row>
    <row r="24" spans="2:8" x14ac:dyDescent="0.55000000000000004">
      <c r="B24" s="8" t="s">
        <v>126</v>
      </c>
      <c r="C24" s="10">
        <v>1854.5</v>
      </c>
      <c r="D24" s="10">
        <v>1819</v>
      </c>
      <c r="E24" s="10">
        <v>1761.8</v>
      </c>
      <c r="F24" s="10">
        <v>1678.5</v>
      </c>
      <c r="G24" s="10">
        <v>1564.6</v>
      </c>
      <c r="H24" s="10">
        <v>1404.9</v>
      </c>
    </row>
    <row r="25" spans="2:8" x14ac:dyDescent="0.55000000000000004">
      <c r="B25" s="33" t="s">
        <v>127</v>
      </c>
      <c r="C25" s="34">
        <f t="shared" ref="C25:H25" si="9">C23-C24</f>
        <v>617.18624999999975</v>
      </c>
      <c r="D25" s="34">
        <f t="shared" si="9"/>
        <v>920.53003614399995</v>
      </c>
      <c r="E25" s="34">
        <f t="shared" si="9"/>
        <v>1274.2582592846877</v>
      </c>
      <c r="F25" s="34">
        <f t="shared" si="9"/>
        <v>1686.7854549134622</v>
      </c>
      <c r="G25" s="34">
        <f t="shared" si="9"/>
        <v>2167.2077382996908</v>
      </c>
      <c r="H25" s="34">
        <f t="shared" si="9"/>
        <v>2735.9992758012045</v>
      </c>
    </row>
    <row r="26" spans="2:8" x14ac:dyDescent="0.55000000000000004">
      <c r="B26" s="8" t="s">
        <v>128</v>
      </c>
      <c r="C26" s="10">
        <f t="shared" ref="C26:H26" si="10">MAX(0,C25)*$C$10</f>
        <v>140.71846499999995</v>
      </c>
      <c r="D26" s="10">
        <f t="shared" si="10"/>
        <v>209.88084824083199</v>
      </c>
      <c r="E26" s="10">
        <f t="shared" si="10"/>
        <v>290.5308831169088</v>
      </c>
      <c r="F26" s="10">
        <f t="shared" si="10"/>
        <v>384.58708372026939</v>
      </c>
      <c r="G26" s="10">
        <f t="shared" si="10"/>
        <v>494.12336433232952</v>
      </c>
      <c r="H26" s="10">
        <f t="shared" si="10"/>
        <v>623.80783488267468</v>
      </c>
    </row>
    <row r="27" spans="2:8" x14ac:dyDescent="0.55000000000000004">
      <c r="B27" s="33" t="s">
        <v>129</v>
      </c>
      <c r="C27" s="34">
        <f t="shared" ref="C27:H27" si="11">C25-C26</f>
        <v>476.46778499999982</v>
      </c>
      <c r="D27" s="34">
        <f t="shared" si="11"/>
        <v>710.64918790316801</v>
      </c>
      <c r="E27" s="34">
        <f t="shared" si="11"/>
        <v>983.72737616777886</v>
      </c>
      <c r="F27" s="34">
        <f t="shared" si="11"/>
        <v>1302.1983711931928</v>
      </c>
      <c r="G27" s="34">
        <f t="shared" si="11"/>
        <v>1673.0843739673614</v>
      </c>
      <c r="H27" s="34">
        <f t="shared" si="11"/>
        <v>2112.1914409185297</v>
      </c>
    </row>
    <row r="29" spans="2:8" x14ac:dyDescent="0.55000000000000004">
      <c r="B29" s="36" t="s">
        <v>130</v>
      </c>
    </row>
  </sheetData>
  <mergeCells count="3">
    <mergeCell ref="B1:H1"/>
    <mergeCell ref="B4:G4"/>
    <mergeCell ref="B13:G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5"/>
  <sheetViews>
    <sheetView showGridLines="0" topLeftCell="A2" workbookViewId="0"/>
  </sheetViews>
  <sheetFormatPr defaultRowHeight="14.4" x14ac:dyDescent="0.55000000000000004"/>
  <cols>
    <col min="1" max="1" width="3" customWidth="1"/>
    <col min="2" max="2" width="30" customWidth="1"/>
    <col min="3" max="8" width="16" customWidth="1"/>
  </cols>
  <sheetData>
    <row r="1" spans="2:8" ht="22" customHeight="1" x14ac:dyDescent="0.55000000000000004">
      <c r="B1" s="61" t="s">
        <v>131</v>
      </c>
      <c r="C1" s="56"/>
      <c r="D1" s="56"/>
      <c r="E1" s="56"/>
      <c r="F1" s="56"/>
      <c r="G1" s="56"/>
      <c r="H1" s="56"/>
    </row>
    <row r="3" spans="2:8" x14ac:dyDescent="0.55000000000000004">
      <c r="B3" s="21" t="s">
        <v>110</v>
      </c>
      <c r="C3" s="22" t="s">
        <v>69</v>
      </c>
      <c r="D3" s="22" t="s">
        <v>70</v>
      </c>
      <c r="E3" s="22" t="s">
        <v>71</v>
      </c>
      <c r="F3" s="22" t="s">
        <v>72</v>
      </c>
      <c r="G3" s="22" t="s">
        <v>73</v>
      </c>
      <c r="H3" s="22" t="s">
        <v>74</v>
      </c>
    </row>
    <row r="4" spans="2:8" x14ac:dyDescent="0.55000000000000004">
      <c r="B4" s="8" t="s">
        <v>129</v>
      </c>
      <c r="C4" s="10">
        <f>'Income Statement'!C27</f>
        <v>476.46778499999982</v>
      </c>
      <c r="D4" s="10">
        <f>'Income Statement'!D27</f>
        <v>710.64918790316801</v>
      </c>
      <c r="E4" s="10">
        <f>'Income Statement'!E27</f>
        <v>983.72737616777886</v>
      </c>
      <c r="F4" s="10">
        <f>'Income Statement'!F27</f>
        <v>1302.1983711931928</v>
      </c>
      <c r="G4" s="10">
        <f>'Income Statement'!G27</f>
        <v>1673.0843739673614</v>
      </c>
      <c r="H4" s="10">
        <f>'Income Statement'!H27</f>
        <v>2112.1914409185297</v>
      </c>
    </row>
    <row r="5" spans="2:8" x14ac:dyDescent="0.55000000000000004">
      <c r="B5" s="6" t="s">
        <v>132</v>
      </c>
      <c r="C5" s="7">
        <f>'Income Statement'!C22</f>
        <v>1403.9177899999997</v>
      </c>
      <c r="D5" s="7">
        <f>'Income Statement'!D22</f>
        <v>1429.8606088800002</v>
      </c>
      <c r="E5" s="7">
        <f>'Income Statement'!E22</f>
        <v>1459.2245579058399</v>
      </c>
      <c r="F5" s="7">
        <f>'Income Statement'!F22</f>
        <v>1492.1115591362545</v>
      </c>
      <c r="G5" s="7">
        <f>'Income Statement'!G22</f>
        <v>1528.633858991421</v>
      </c>
      <c r="H5" s="7">
        <f>'Income Statement'!H22</f>
        <v>1568.9121479743696</v>
      </c>
    </row>
    <row r="6" spans="2:8" x14ac:dyDescent="0.55000000000000004">
      <c r="B6" s="8" t="s">
        <v>133</v>
      </c>
      <c r="C6" s="10">
        <v>48.7</v>
      </c>
      <c r="D6" s="10">
        <v>48.7</v>
      </c>
      <c r="E6" s="10">
        <v>48.7</v>
      </c>
      <c r="F6" s="10">
        <v>48.7</v>
      </c>
      <c r="G6" s="10">
        <v>48.7</v>
      </c>
      <c r="H6" s="10">
        <v>48.7</v>
      </c>
    </row>
    <row r="7" spans="2:8" x14ac:dyDescent="0.55000000000000004">
      <c r="B7" s="6" t="s">
        <v>134</v>
      </c>
      <c r="C7" s="7">
        <v>-121.6</v>
      </c>
      <c r="D7" s="7">
        <v>-158.30000000000001</v>
      </c>
      <c r="E7" s="7">
        <v>-176.4</v>
      </c>
      <c r="F7" s="7">
        <v>-196.4</v>
      </c>
      <c r="G7" s="7">
        <v>-218.5</v>
      </c>
      <c r="H7" s="7">
        <v>-243</v>
      </c>
    </row>
    <row r="8" spans="2:8" x14ac:dyDescent="0.55000000000000004">
      <c r="B8" s="33" t="s">
        <v>135</v>
      </c>
      <c r="C8" s="34">
        <f t="shared" ref="C8:H8" si="0">C4+C5+C6+C7</f>
        <v>1807.4855749999997</v>
      </c>
      <c r="D8" s="34">
        <f t="shared" si="0"/>
        <v>2030.9097967831678</v>
      </c>
      <c r="E8" s="34">
        <f t="shared" si="0"/>
        <v>2315.2519340736185</v>
      </c>
      <c r="F8" s="34">
        <f t="shared" si="0"/>
        <v>2646.6099303294473</v>
      </c>
      <c r="G8" s="34">
        <f t="shared" si="0"/>
        <v>3031.918232958782</v>
      </c>
      <c r="H8" s="34">
        <f t="shared" si="0"/>
        <v>3486.8035888928989</v>
      </c>
    </row>
    <row r="9" spans="2:8" x14ac:dyDescent="0.55000000000000004">
      <c r="B9" s="6" t="s">
        <v>136</v>
      </c>
      <c r="C9" s="7">
        <f>-'Income Statement'!C14*0.041</f>
        <v>-1621.4261799999999</v>
      </c>
      <c r="D9" s="7">
        <f>-'Income Statement'!D14*0.0395</f>
        <v>-1637.0867840799999</v>
      </c>
      <c r="E9" s="7">
        <f>-'Income Statement'!E14*0.038</f>
        <v>-1655.2397970275197</v>
      </c>
      <c r="F9" s="7">
        <f>-'Income Statement'!F14*0.0365</f>
        <v>-1675.7560587222556</v>
      </c>
      <c r="G9" s="7">
        <f>-'Income Statement'!G14*0.035</f>
        <v>-1698.4820655460235</v>
      </c>
      <c r="H9" s="7">
        <f>-'Income Statement'!H14*0.0335</f>
        <v>-1723.2313756439798</v>
      </c>
    </row>
    <row r="10" spans="2:8" x14ac:dyDescent="0.55000000000000004">
      <c r="B10" s="8" t="s">
        <v>137</v>
      </c>
      <c r="C10" s="10">
        <f t="shared" ref="C10:H10" si="1">C9</f>
        <v>-1621.4261799999999</v>
      </c>
      <c r="D10" s="10">
        <f t="shared" si="1"/>
        <v>-1637.0867840799999</v>
      </c>
      <c r="E10" s="10">
        <f t="shared" si="1"/>
        <v>-1655.2397970275197</v>
      </c>
      <c r="F10" s="10">
        <f t="shared" si="1"/>
        <v>-1675.7560587222556</v>
      </c>
      <c r="G10" s="10">
        <f t="shared" si="1"/>
        <v>-1698.4820655460235</v>
      </c>
      <c r="H10" s="10">
        <f t="shared" si="1"/>
        <v>-1723.2313756439798</v>
      </c>
    </row>
    <row r="11" spans="2:8" x14ac:dyDescent="0.55000000000000004">
      <c r="B11" s="33" t="s">
        <v>138</v>
      </c>
      <c r="C11" s="34">
        <f t="shared" ref="C11:H11" si="2">C8+C10</f>
        <v>186.05939499999977</v>
      </c>
      <c r="D11" s="34">
        <f t="shared" si="2"/>
        <v>393.82301270316793</v>
      </c>
      <c r="E11" s="34">
        <f t="shared" si="2"/>
        <v>660.01213704609881</v>
      </c>
      <c r="F11" s="34">
        <f t="shared" si="2"/>
        <v>970.85387160719165</v>
      </c>
      <c r="G11" s="34">
        <f t="shared" si="2"/>
        <v>1333.4361674127586</v>
      </c>
      <c r="H11" s="34">
        <f t="shared" si="2"/>
        <v>1763.5722132489191</v>
      </c>
    </row>
    <row r="12" spans="2:8" x14ac:dyDescent="0.55000000000000004">
      <c r="B12" s="8" t="s">
        <v>139</v>
      </c>
      <c r="C12" s="10">
        <v>-308.60000000000002</v>
      </c>
      <c r="D12" s="10">
        <v>-558.29999999999995</v>
      </c>
      <c r="E12" s="10">
        <v>-852.8</v>
      </c>
      <c r="F12" s="10">
        <v>-1199</v>
      </c>
      <c r="G12" s="10">
        <v>-1606.2</v>
      </c>
      <c r="H12" s="10">
        <v>-2083</v>
      </c>
    </row>
    <row r="13" spans="2:8" x14ac:dyDescent="0.55000000000000004">
      <c r="B13" s="6" t="s">
        <v>140</v>
      </c>
      <c r="C13" s="7">
        <v>-20</v>
      </c>
      <c r="D13" s="7">
        <v>-20</v>
      </c>
      <c r="E13" s="7">
        <v>-20</v>
      </c>
      <c r="F13" s="7">
        <v>-20</v>
      </c>
      <c r="G13" s="7">
        <v>-20</v>
      </c>
      <c r="H13" s="7">
        <v>-20</v>
      </c>
    </row>
    <row r="14" spans="2:8" x14ac:dyDescent="0.55000000000000004">
      <c r="B14" s="8" t="s">
        <v>141</v>
      </c>
      <c r="C14" s="10">
        <f t="shared" ref="C14:H14" si="3">C12+C13</f>
        <v>-328.6</v>
      </c>
      <c r="D14" s="10">
        <f t="shared" si="3"/>
        <v>-578.29999999999995</v>
      </c>
      <c r="E14" s="10">
        <f t="shared" si="3"/>
        <v>-872.8</v>
      </c>
      <c r="F14" s="10">
        <f t="shared" si="3"/>
        <v>-1219</v>
      </c>
      <c r="G14" s="10">
        <f t="shared" si="3"/>
        <v>-1626.2</v>
      </c>
      <c r="H14" s="10">
        <f t="shared" si="3"/>
        <v>-2103</v>
      </c>
    </row>
    <row r="15" spans="2:8" x14ac:dyDescent="0.55000000000000004">
      <c r="B15" s="33" t="s">
        <v>142</v>
      </c>
      <c r="C15" s="34">
        <f t="shared" ref="C15:H15" si="4">C8+C10+C14</f>
        <v>-142.54060500000026</v>
      </c>
      <c r="D15" s="34">
        <f t="shared" si="4"/>
        <v>-184.47698729683202</v>
      </c>
      <c r="E15" s="34">
        <f t="shared" si="4"/>
        <v>-212.78786295390114</v>
      </c>
      <c r="F15" s="34">
        <f t="shared" si="4"/>
        <v>-248.14612839280835</v>
      </c>
      <c r="G15" s="34">
        <f t="shared" si="4"/>
        <v>-292.7638325872415</v>
      </c>
      <c r="H15" s="34">
        <f t="shared" si="4"/>
        <v>-339.42778675108093</v>
      </c>
    </row>
  </sheetData>
  <mergeCells count="1">
    <mergeCell ref="B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8"/>
  <sheetViews>
    <sheetView showGridLines="0" tabSelected="1" topLeftCell="A6" workbookViewId="0">
      <selection activeCell="D30" sqref="D30"/>
    </sheetView>
  </sheetViews>
  <sheetFormatPr defaultRowHeight="14.4" x14ac:dyDescent="0.55000000000000004"/>
  <cols>
    <col min="1" max="1" width="3" customWidth="1"/>
    <col min="2" max="2" width="34" customWidth="1"/>
    <col min="3" max="3" width="18" customWidth="1"/>
    <col min="4" max="9" width="16" customWidth="1"/>
  </cols>
  <sheetData>
    <row r="1" spans="2:9" ht="22" customHeight="1" x14ac:dyDescent="0.55000000000000004">
      <c r="B1" s="61" t="s">
        <v>143</v>
      </c>
      <c r="C1" s="56"/>
      <c r="D1" s="56"/>
      <c r="E1" s="56"/>
      <c r="F1" s="56"/>
      <c r="G1" s="56"/>
      <c r="H1" s="56"/>
      <c r="I1" s="56"/>
    </row>
    <row r="3" spans="2:9" x14ac:dyDescent="0.55000000000000004">
      <c r="B3" s="21" t="s">
        <v>110</v>
      </c>
      <c r="C3" s="22" t="s">
        <v>144</v>
      </c>
      <c r="D3" s="22" t="s">
        <v>69</v>
      </c>
      <c r="E3" s="22" t="s">
        <v>70</v>
      </c>
      <c r="F3" s="22" t="s">
        <v>71</v>
      </c>
      <c r="G3" s="22" t="s">
        <v>72</v>
      </c>
      <c r="H3" s="22" t="s">
        <v>73</v>
      </c>
      <c r="I3" s="22" t="s">
        <v>74</v>
      </c>
    </row>
    <row r="4" spans="2:9" x14ac:dyDescent="0.55000000000000004">
      <c r="B4" s="6" t="s">
        <v>145</v>
      </c>
      <c r="C4" s="7">
        <v>300</v>
      </c>
      <c r="D4" s="7">
        <v>296.39999999999998</v>
      </c>
      <c r="E4" s="7">
        <v>198.3</v>
      </c>
      <c r="F4" s="7">
        <v>92.2</v>
      </c>
      <c r="G4" s="7">
        <v>0</v>
      </c>
      <c r="H4" s="7">
        <v>0</v>
      </c>
      <c r="I4" s="7">
        <v>0</v>
      </c>
    </row>
    <row r="5" spans="2:9" x14ac:dyDescent="0.55000000000000004">
      <c r="B5" s="8" t="s">
        <v>146</v>
      </c>
      <c r="C5" s="10">
        <v>224</v>
      </c>
      <c r="D5" s="10">
        <v>238.4</v>
      </c>
      <c r="E5" s="10">
        <v>249.8</v>
      </c>
      <c r="F5" s="10">
        <v>262.5</v>
      </c>
      <c r="G5" s="10">
        <v>276.7</v>
      </c>
      <c r="H5" s="10">
        <v>292.5</v>
      </c>
      <c r="I5" s="10">
        <v>310</v>
      </c>
    </row>
    <row r="6" spans="2:9" x14ac:dyDescent="0.55000000000000004">
      <c r="B6" s="6" t="s">
        <v>147</v>
      </c>
      <c r="C6" s="7">
        <v>7014</v>
      </c>
      <c r="D6" s="7">
        <v>7246.9</v>
      </c>
      <c r="E6" s="7">
        <v>7572.9</v>
      </c>
      <c r="F6" s="7">
        <v>7936.2</v>
      </c>
      <c r="G6" s="7">
        <v>8340.6</v>
      </c>
      <c r="H6" s="7">
        <v>8790.5</v>
      </c>
      <c r="I6" s="7">
        <v>9290.7999999999993</v>
      </c>
    </row>
    <row r="7" spans="2:9" x14ac:dyDescent="0.55000000000000004">
      <c r="B7" s="8" t="s">
        <v>148</v>
      </c>
      <c r="C7" s="10">
        <v>500</v>
      </c>
      <c r="D7" s="10">
        <v>511.2</v>
      </c>
      <c r="E7" s="10">
        <v>512</v>
      </c>
      <c r="F7" s="10">
        <v>512.79999999999995</v>
      </c>
      <c r="G7" s="10">
        <v>513.5</v>
      </c>
      <c r="H7" s="10">
        <v>514.20000000000005</v>
      </c>
      <c r="I7" s="10">
        <v>515</v>
      </c>
    </row>
    <row r="8" spans="2:9" x14ac:dyDescent="0.55000000000000004">
      <c r="B8" s="1" t="s">
        <v>149</v>
      </c>
      <c r="C8" s="35">
        <v>8038</v>
      </c>
      <c r="D8" s="35">
        <f t="shared" ref="D8:I8" si="0">SUM(D4:D7)</f>
        <v>8292.9</v>
      </c>
      <c r="E8" s="35">
        <f t="shared" si="0"/>
        <v>8533</v>
      </c>
      <c r="F8" s="35">
        <f t="shared" si="0"/>
        <v>8803.6999999999989</v>
      </c>
      <c r="G8" s="35">
        <f t="shared" si="0"/>
        <v>9130.8000000000011</v>
      </c>
      <c r="H8" s="35">
        <f t="shared" si="0"/>
        <v>9597.2000000000007</v>
      </c>
      <c r="I8" s="35">
        <f t="shared" si="0"/>
        <v>10115.799999999999</v>
      </c>
    </row>
    <row r="9" spans="2:9" x14ac:dyDescent="0.55000000000000004">
      <c r="B9" s="8" t="s">
        <v>150</v>
      </c>
      <c r="C9" s="10">
        <v>5962</v>
      </c>
      <c r="D9" s="10">
        <v>6179.5</v>
      </c>
      <c r="E9" s="10">
        <v>6386.7</v>
      </c>
      <c r="F9" s="10">
        <v>6582.7</v>
      </c>
      <c r="G9" s="10">
        <v>6766.4</v>
      </c>
      <c r="H9" s="10">
        <v>6936.3</v>
      </c>
      <c r="I9" s="10">
        <v>7090.6</v>
      </c>
    </row>
    <row r="10" spans="2:9" x14ac:dyDescent="0.55000000000000004">
      <c r="B10" s="6" t="s">
        <v>151</v>
      </c>
      <c r="C10" s="7">
        <v>8089</v>
      </c>
      <c r="D10" s="7">
        <v>8089</v>
      </c>
      <c r="E10" s="7">
        <v>7927.2</v>
      </c>
      <c r="F10" s="7">
        <v>7768.7</v>
      </c>
      <c r="G10" s="7">
        <v>7613.3</v>
      </c>
      <c r="H10" s="7">
        <v>7461</v>
      </c>
      <c r="I10" s="7">
        <v>7311.8</v>
      </c>
    </row>
    <row r="11" spans="2:9" x14ac:dyDescent="0.55000000000000004">
      <c r="B11" s="8" t="s">
        <v>152</v>
      </c>
      <c r="C11" s="10">
        <v>30074.1</v>
      </c>
      <c r="D11" s="10">
        <v>30074.1</v>
      </c>
      <c r="E11" s="10">
        <v>30074.1</v>
      </c>
      <c r="F11" s="10">
        <v>30074.1</v>
      </c>
      <c r="G11" s="10">
        <v>30047</v>
      </c>
      <c r="H11" s="10">
        <v>29907</v>
      </c>
      <c r="I11" s="10">
        <v>29746.5</v>
      </c>
    </row>
    <row r="12" spans="2:9" x14ac:dyDescent="0.55000000000000004">
      <c r="B12" s="6" t="s">
        <v>153</v>
      </c>
      <c r="C12" s="7">
        <v>355</v>
      </c>
      <c r="D12" s="7">
        <v>306.3</v>
      </c>
      <c r="E12" s="7">
        <v>257.7</v>
      </c>
      <c r="F12" s="7">
        <v>209</v>
      </c>
      <c r="G12" s="7">
        <v>160.30000000000001</v>
      </c>
      <c r="H12" s="7">
        <v>111.7</v>
      </c>
      <c r="I12" s="7">
        <v>63</v>
      </c>
    </row>
    <row r="13" spans="2:9" x14ac:dyDescent="0.55000000000000004">
      <c r="B13" s="8" t="s">
        <v>154</v>
      </c>
      <c r="C13" s="10">
        <v>1487</v>
      </c>
      <c r="D13" s="10">
        <v>1487</v>
      </c>
      <c r="E13" s="10">
        <v>1487</v>
      </c>
      <c r="F13" s="10">
        <v>1487</v>
      </c>
      <c r="G13" s="10">
        <v>1487</v>
      </c>
      <c r="H13" s="10">
        <v>1487</v>
      </c>
      <c r="I13" s="10">
        <v>1487</v>
      </c>
    </row>
    <row r="14" spans="2:9" x14ac:dyDescent="0.55000000000000004">
      <c r="B14" s="33" t="s">
        <v>155</v>
      </c>
      <c r="C14" s="34">
        <v>54005.1</v>
      </c>
      <c r="D14" s="34">
        <f t="shared" ref="D14:I14" si="1">D8+D9+D10+D11+D12+D13</f>
        <v>54428.800000000003</v>
      </c>
      <c r="E14" s="34">
        <f t="shared" si="1"/>
        <v>54665.7</v>
      </c>
      <c r="F14" s="34">
        <f t="shared" si="1"/>
        <v>54925.2</v>
      </c>
      <c r="G14" s="34">
        <f t="shared" si="1"/>
        <v>55204.800000000003</v>
      </c>
      <c r="H14" s="34">
        <f t="shared" si="1"/>
        <v>55500.2</v>
      </c>
      <c r="I14" s="34">
        <f t="shared" si="1"/>
        <v>55814.7</v>
      </c>
    </row>
    <row r="15" spans="2:9" x14ac:dyDescent="0.55000000000000004">
      <c r="B15" s="8" t="s">
        <v>156</v>
      </c>
      <c r="C15" s="10">
        <v>3856</v>
      </c>
      <c r="D15" s="10">
        <v>3981.7</v>
      </c>
      <c r="E15" s="10">
        <v>4160.8</v>
      </c>
      <c r="F15" s="10">
        <v>4360.3999999999996</v>
      </c>
      <c r="G15" s="10">
        <v>4582.6000000000004</v>
      </c>
      <c r="H15" s="10">
        <v>4829.7</v>
      </c>
      <c r="I15" s="10">
        <v>5104.6000000000004</v>
      </c>
    </row>
    <row r="16" spans="2:9" x14ac:dyDescent="0.55000000000000004">
      <c r="B16" s="6" t="s">
        <v>157</v>
      </c>
      <c r="C16" s="7">
        <v>784</v>
      </c>
      <c r="D16" s="7">
        <v>819.3</v>
      </c>
      <c r="E16" s="7">
        <v>858.6</v>
      </c>
      <c r="F16" s="7">
        <v>902.4</v>
      </c>
      <c r="G16" s="7">
        <v>951.1</v>
      </c>
      <c r="H16" s="7">
        <v>1005.3</v>
      </c>
      <c r="I16" s="7">
        <v>1065.7</v>
      </c>
    </row>
    <row r="17" spans="2:9" x14ac:dyDescent="0.55000000000000004">
      <c r="B17" s="8" t="s">
        <v>158</v>
      </c>
      <c r="C17" s="10">
        <v>1002</v>
      </c>
      <c r="D17" s="10">
        <v>1002</v>
      </c>
      <c r="E17" s="10">
        <v>1002</v>
      </c>
      <c r="F17" s="10">
        <v>1002</v>
      </c>
      <c r="G17" s="10">
        <v>1002</v>
      </c>
      <c r="H17" s="10">
        <v>1002</v>
      </c>
      <c r="I17" s="10">
        <v>1002</v>
      </c>
    </row>
    <row r="18" spans="2:9" x14ac:dyDescent="0.55000000000000004">
      <c r="B18" s="6" t="s">
        <v>159</v>
      </c>
      <c r="C18" s="7">
        <v>389</v>
      </c>
      <c r="D18" s="7">
        <v>406.5</v>
      </c>
      <c r="E18" s="7">
        <v>426</v>
      </c>
      <c r="F18" s="7">
        <v>447.7</v>
      </c>
      <c r="G18" s="7">
        <v>471.9</v>
      </c>
      <c r="H18" s="7">
        <v>498.8</v>
      </c>
      <c r="I18" s="7">
        <v>528.79999999999995</v>
      </c>
    </row>
    <row r="19" spans="2:9" x14ac:dyDescent="0.55000000000000004">
      <c r="B19" s="4" t="s">
        <v>160</v>
      </c>
      <c r="C19" s="31">
        <v>6031</v>
      </c>
      <c r="D19" s="31">
        <f t="shared" ref="D19:I19" si="2">SUM(D15:D18)</f>
        <v>6209.5</v>
      </c>
      <c r="E19" s="31">
        <f t="shared" si="2"/>
        <v>6447.4000000000005</v>
      </c>
      <c r="F19" s="31">
        <f t="shared" si="2"/>
        <v>6712.4999999999991</v>
      </c>
      <c r="G19" s="31">
        <f t="shared" si="2"/>
        <v>7007.6</v>
      </c>
      <c r="H19" s="31">
        <f t="shared" si="2"/>
        <v>7335.8</v>
      </c>
      <c r="I19" s="31">
        <f t="shared" si="2"/>
        <v>7701.1</v>
      </c>
    </row>
    <row r="20" spans="2:9" x14ac:dyDescent="0.55000000000000004">
      <c r="B20" s="6" t="s">
        <v>161</v>
      </c>
      <c r="C20" s="7">
        <v>21500</v>
      </c>
      <c r="D20" s="7">
        <v>21191.4</v>
      </c>
      <c r="E20" s="7">
        <v>20633.099999999999</v>
      </c>
      <c r="F20" s="7">
        <v>19780.3</v>
      </c>
      <c r="G20" s="7">
        <v>18581.3</v>
      </c>
      <c r="H20" s="7">
        <v>16975.099999999999</v>
      </c>
      <c r="I20" s="7">
        <v>14892.1</v>
      </c>
    </row>
    <row r="21" spans="2:9" x14ac:dyDescent="0.55000000000000004">
      <c r="B21" s="8" t="s">
        <v>162</v>
      </c>
      <c r="C21" s="10">
        <v>7999</v>
      </c>
      <c r="D21" s="10">
        <v>7999</v>
      </c>
      <c r="E21" s="10">
        <v>7759</v>
      </c>
      <c r="F21" s="10">
        <v>7526.3</v>
      </c>
      <c r="G21" s="10">
        <v>7300.5</v>
      </c>
      <c r="H21" s="10">
        <v>7081.5</v>
      </c>
      <c r="I21" s="10">
        <v>6869</v>
      </c>
    </row>
    <row r="22" spans="2:9" x14ac:dyDescent="0.55000000000000004">
      <c r="B22" s="6" t="s">
        <v>163</v>
      </c>
      <c r="C22" s="7">
        <v>1724</v>
      </c>
      <c r="D22" s="7">
        <v>1801.6</v>
      </c>
      <c r="E22" s="7">
        <v>1888.1</v>
      </c>
      <c r="F22" s="7">
        <v>1984.3</v>
      </c>
      <c r="G22" s="7">
        <v>2091.5</v>
      </c>
      <c r="H22" s="7">
        <v>2210.6999999999998</v>
      </c>
      <c r="I22" s="7">
        <v>2343.4</v>
      </c>
    </row>
    <row r="23" spans="2:9" x14ac:dyDescent="0.55000000000000004">
      <c r="B23" s="4" t="s">
        <v>164</v>
      </c>
      <c r="C23" s="31">
        <v>37254</v>
      </c>
      <c r="D23" s="31">
        <f t="shared" ref="D23:I23" si="3">D19+D20+D21+D22</f>
        <v>37201.5</v>
      </c>
      <c r="E23" s="31">
        <f t="shared" si="3"/>
        <v>36727.599999999999</v>
      </c>
      <c r="F23" s="31">
        <f t="shared" si="3"/>
        <v>36003.4</v>
      </c>
      <c r="G23" s="31">
        <f t="shared" si="3"/>
        <v>34980.9</v>
      </c>
      <c r="H23" s="31">
        <f t="shared" si="3"/>
        <v>33603.1</v>
      </c>
      <c r="I23" s="31">
        <f t="shared" si="3"/>
        <v>31805.600000000002</v>
      </c>
    </row>
    <row r="24" spans="2:9" x14ac:dyDescent="0.55000000000000004">
      <c r="B24" s="6" t="s">
        <v>165</v>
      </c>
      <c r="C24" s="7">
        <v>16751.099999999999</v>
      </c>
      <c r="D24" s="7">
        <v>16751.099999999999</v>
      </c>
      <c r="E24" s="7">
        <v>16751.099999999999</v>
      </c>
      <c r="F24" s="7">
        <v>16751.099999999999</v>
      </c>
      <c r="G24" s="7">
        <v>16751.099999999999</v>
      </c>
      <c r="H24" s="7">
        <v>16751.099999999999</v>
      </c>
      <c r="I24" s="7">
        <v>16751.099999999999</v>
      </c>
    </row>
    <row r="25" spans="2:9" x14ac:dyDescent="0.55000000000000004">
      <c r="B25" s="8" t="s">
        <v>166</v>
      </c>
      <c r="C25" s="10">
        <v>0</v>
      </c>
      <c r="D25" s="10">
        <v>476.4</v>
      </c>
      <c r="E25" s="10">
        <v>1187</v>
      </c>
      <c r="F25" s="10">
        <v>2170.6999999999998</v>
      </c>
      <c r="G25" s="10">
        <v>3472.9</v>
      </c>
      <c r="H25" s="10">
        <v>5146</v>
      </c>
      <c r="I25" s="10">
        <v>7258.2</v>
      </c>
    </row>
    <row r="26" spans="2:9" x14ac:dyDescent="0.55000000000000004">
      <c r="B26" s="1" t="s">
        <v>167</v>
      </c>
      <c r="C26" s="35">
        <v>16751.099999999999</v>
      </c>
      <c r="D26" s="35">
        <f t="shared" ref="D26:I26" si="4">D24+D25</f>
        <v>17227.5</v>
      </c>
      <c r="E26" s="35">
        <f t="shared" si="4"/>
        <v>17938.099999999999</v>
      </c>
      <c r="F26" s="35">
        <f t="shared" si="4"/>
        <v>18921.8</v>
      </c>
      <c r="G26" s="35">
        <f t="shared" si="4"/>
        <v>20224</v>
      </c>
      <c r="H26" s="35">
        <f t="shared" si="4"/>
        <v>21897.1</v>
      </c>
      <c r="I26" s="35">
        <f t="shared" si="4"/>
        <v>24009.3</v>
      </c>
    </row>
    <row r="27" spans="2:9" x14ac:dyDescent="0.55000000000000004">
      <c r="B27" s="33" t="s">
        <v>168</v>
      </c>
      <c r="C27" s="34">
        <v>54005.1</v>
      </c>
      <c r="D27" s="34">
        <f t="shared" ref="D27:I27" si="5">D23+D26</f>
        <v>54429</v>
      </c>
      <c r="E27" s="34">
        <f t="shared" si="5"/>
        <v>54665.7</v>
      </c>
      <c r="F27" s="34">
        <f t="shared" si="5"/>
        <v>54925.2</v>
      </c>
      <c r="G27" s="34">
        <f t="shared" si="5"/>
        <v>55204.9</v>
      </c>
      <c r="H27" s="34">
        <f t="shared" si="5"/>
        <v>55500.2</v>
      </c>
      <c r="I27" s="34">
        <f t="shared" si="5"/>
        <v>55814.9</v>
      </c>
    </row>
    <row r="28" spans="2:9" x14ac:dyDescent="0.55000000000000004">
      <c r="B28" s="37" t="s">
        <v>169</v>
      </c>
      <c r="C28" s="38">
        <v>0</v>
      </c>
      <c r="D28" s="38">
        <f t="shared" ref="D28:I28" si="6">D14-D27</f>
        <v>-0.19999999999708962</v>
      </c>
      <c r="E28" s="38">
        <f t="shared" si="6"/>
        <v>0</v>
      </c>
      <c r="F28" s="38">
        <f t="shared" si="6"/>
        <v>0</v>
      </c>
      <c r="G28" s="38">
        <f t="shared" si="6"/>
        <v>-9.9999999998544808E-2</v>
      </c>
      <c r="H28" s="38">
        <f t="shared" si="6"/>
        <v>0</v>
      </c>
      <c r="I28" s="38">
        <f t="shared" si="6"/>
        <v>-0.20000000000436557</v>
      </c>
    </row>
  </sheetData>
  <mergeCells count="1">
    <mergeCell ref="B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74"/>
  <sheetViews>
    <sheetView showGridLines="0" workbookViewId="0"/>
  </sheetViews>
  <sheetFormatPr defaultRowHeight="14.4" x14ac:dyDescent="0.55000000000000004"/>
  <cols>
    <col min="1" max="1" width="3" customWidth="1"/>
    <col min="2" max="2" width="32" customWidth="1"/>
    <col min="3" max="8" width="16" customWidth="1"/>
  </cols>
  <sheetData>
    <row r="1" spans="2:8" ht="22" customHeight="1" x14ac:dyDescent="0.55000000000000004">
      <c r="B1" s="61" t="s">
        <v>170</v>
      </c>
      <c r="C1" s="56"/>
      <c r="D1" s="56"/>
      <c r="E1" s="56"/>
      <c r="F1" s="56"/>
      <c r="G1" s="56"/>
      <c r="H1" s="56"/>
    </row>
    <row r="3" spans="2:8" x14ac:dyDescent="0.55000000000000004">
      <c r="B3" s="52" t="s">
        <v>171</v>
      </c>
      <c r="C3" s="53"/>
      <c r="D3" s="53"/>
      <c r="E3" s="53"/>
      <c r="F3" s="53"/>
      <c r="G3" s="54"/>
    </row>
    <row r="4" spans="2:8" x14ac:dyDescent="0.55000000000000004">
      <c r="B4" s="21" t="s">
        <v>172</v>
      </c>
      <c r="C4" s="22" t="s">
        <v>69</v>
      </c>
      <c r="D4" s="22" t="s">
        <v>70</v>
      </c>
      <c r="E4" s="22" t="s">
        <v>71</v>
      </c>
      <c r="F4" s="22" t="s">
        <v>72</v>
      </c>
      <c r="G4" s="22" t="s">
        <v>73</v>
      </c>
      <c r="H4" s="22" t="s">
        <v>74</v>
      </c>
    </row>
    <row r="5" spans="2:8" x14ac:dyDescent="0.55000000000000004">
      <c r="B5" s="6" t="s">
        <v>173</v>
      </c>
      <c r="C5" s="7">
        <v>21500</v>
      </c>
      <c r="D5" s="7">
        <v>21191.4</v>
      </c>
      <c r="E5" s="7">
        <v>20633.099999999999</v>
      </c>
      <c r="F5" s="7">
        <v>19780.3</v>
      </c>
      <c r="G5" s="7">
        <v>18581.3</v>
      </c>
      <c r="H5" s="7">
        <v>16975.099999999999</v>
      </c>
    </row>
    <row r="6" spans="2:8" x14ac:dyDescent="0.55000000000000004">
      <c r="B6" s="8" t="s">
        <v>174</v>
      </c>
      <c r="C6" s="10">
        <v>280</v>
      </c>
      <c r="D6" s="10">
        <v>280</v>
      </c>
      <c r="E6" s="10">
        <v>280</v>
      </c>
      <c r="F6" s="10">
        <v>280</v>
      </c>
      <c r="G6" s="10">
        <v>280</v>
      </c>
      <c r="H6" s="10">
        <v>280</v>
      </c>
    </row>
    <row r="7" spans="2:8" x14ac:dyDescent="0.55000000000000004">
      <c r="B7" s="6" t="s">
        <v>175</v>
      </c>
      <c r="C7" s="7">
        <v>28.6</v>
      </c>
      <c r="D7" s="7">
        <v>278.3</v>
      </c>
      <c r="E7" s="7">
        <v>572.79999999999995</v>
      </c>
      <c r="F7" s="7">
        <v>919</v>
      </c>
      <c r="G7" s="7">
        <v>1326.2</v>
      </c>
      <c r="H7" s="7">
        <v>1803</v>
      </c>
    </row>
    <row r="8" spans="2:8" x14ac:dyDescent="0.55000000000000004">
      <c r="B8" s="8" t="s">
        <v>176</v>
      </c>
      <c r="C8" s="10">
        <v>308.60000000000002</v>
      </c>
      <c r="D8" s="10">
        <v>558.29999999999995</v>
      </c>
      <c r="E8" s="10">
        <v>852.8</v>
      </c>
      <c r="F8" s="10">
        <v>1199</v>
      </c>
      <c r="G8" s="10">
        <v>1606.2</v>
      </c>
      <c r="H8" s="10">
        <v>2083</v>
      </c>
    </row>
    <row r="9" spans="2:8" x14ac:dyDescent="0.55000000000000004">
      <c r="B9" s="1" t="s">
        <v>177</v>
      </c>
      <c r="C9" s="35">
        <f t="shared" ref="C9:H9" si="0">C5-C6-C7</f>
        <v>21191.4</v>
      </c>
      <c r="D9" s="35">
        <f t="shared" si="0"/>
        <v>20633.100000000002</v>
      </c>
      <c r="E9" s="35">
        <f t="shared" si="0"/>
        <v>19780.3</v>
      </c>
      <c r="F9" s="35">
        <f t="shared" si="0"/>
        <v>18581.3</v>
      </c>
      <c r="G9" s="35">
        <f t="shared" si="0"/>
        <v>16975.099999999999</v>
      </c>
      <c r="H9" s="35">
        <f t="shared" si="0"/>
        <v>14892.099999999999</v>
      </c>
    </row>
    <row r="10" spans="2:8" x14ac:dyDescent="0.55000000000000004">
      <c r="B10" s="8" t="s">
        <v>178</v>
      </c>
      <c r="C10" s="10">
        <v>1805.9</v>
      </c>
      <c r="D10" s="10">
        <v>1770.4</v>
      </c>
      <c r="E10" s="10">
        <v>1713.1</v>
      </c>
      <c r="F10" s="10">
        <v>1629.8</v>
      </c>
      <c r="G10" s="10">
        <v>1515.9</v>
      </c>
      <c r="H10" s="10">
        <v>1356.2</v>
      </c>
    </row>
    <row r="11" spans="2:8" x14ac:dyDescent="0.55000000000000004">
      <c r="B11" s="6" t="s">
        <v>179</v>
      </c>
      <c r="C11" s="7">
        <v>48.7</v>
      </c>
      <c r="D11" s="7">
        <v>48.7</v>
      </c>
      <c r="E11" s="7">
        <v>48.7</v>
      </c>
      <c r="F11" s="7">
        <v>48.7</v>
      </c>
      <c r="G11" s="7">
        <v>48.7</v>
      </c>
      <c r="H11" s="7">
        <v>48.7</v>
      </c>
    </row>
    <row r="12" spans="2:8" x14ac:dyDescent="0.55000000000000004">
      <c r="B12" s="4" t="s">
        <v>180</v>
      </c>
      <c r="C12" s="31">
        <v>1854.5</v>
      </c>
      <c r="D12" s="31">
        <v>1819</v>
      </c>
      <c r="E12" s="31">
        <v>1761.8</v>
      </c>
      <c r="F12" s="31">
        <v>1678.5</v>
      </c>
      <c r="G12" s="31">
        <v>1564.6</v>
      </c>
      <c r="H12" s="31">
        <v>1404.9</v>
      </c>
    </row>
    <row r="13" spans="2:8" x14ac:dyDescent="0.55000000000000004">
      <c r="B13" s="1" t="s">
        <v>181</v>
      </c>
      <c r="C13" s="39">
        <v>5.47</v>
      </c>
      <c r="D13" s="39">
        <v>4.95</v>
      </c>
      <c r="E13" s="39">
        <v>4.4000000000000004</v>
      </c>
      <c r="F13" s="39">
        <v>3.83</v>
      </c>
      <c r="G13" s="39">
        <v>3.23</v>
      </c>
      <c r="H13" s="39">
        <v>2.61</v>
      </c>
    </row>
    <row r="14" spans="2:8" x14ac:dyDescent="0.55000000000000004">
      <c r="B14" s="8" t="s">
        <v>182</v>
      </c>
      <c r="C14" s="40">
        <v>2.09</v>
      </c>
      <c r="D14" s="40">
        <v>2.29</v>
      </c>
      <c r="E14" s="40">
        <v>2.5499999999999998</v>
      </c>
      <c r="F14" s="40">
        <v>2.89</v>
      </c>
      <c r="G14" s="40">
        <v>3.36</v>
      </c>
      <c r="H14" s="40">
        <v>4.0599999999999996</v>
      </c>
    </row>
    <row r="15" spans="2:8" x14ac:dyDescent="0.55000000000000004">
      <c r="B15" s="6" t="s">
        <v>183</v>
      </c>
      <c r="C15" s="7">
        <v>471.4</v>
      </c>
      <c r="D15" s="7">
        <v>193.1</v>
      </c>
      <c r="E15" s="7">
        <v>0</v>
      </c>
      <c r="F15" s="7">
        <v>0</v>
      </c>
      <c r="G15" s="7">
        <v>0</v>
      </c>
      <c r="H15" s="7">
        <v>0</v>
      </c>
    </row>
    <row r="16" spans="2:8" x14ac:dyDescent="0.55000000000000004">
      <c r="B16" s="8" t="s">
        <v>184</v>
      </c>
      <c r="C16" s="10">
        <v>3800</v>
      </c>
      <c r="D16" s="10">
        <v>3600</v>
      </c>
      <c r="E16" s="10">
        <v>3020.3</v>
      </c>
      <c r="F16" s="10">
        <v>1901.3</v>
      </c>
      <c r="G16" s="10">
        <v>375.1</v>
      </c>
      <c r="H16" s="10">
        <v>0</v>
      </c>
    </row>
    <row r="17" spans="2:8" x14ac:dyDescent="0.55000000000000004">
      <c r="B17" s="6" t="s">
        <v>185</v>
      </c>
      <c r="C17" s="7">
        <v>7920</v>
      </c>
      <c r="D17" s="7">
        <v>7840</v>
      </c>
      <c r="E17" s="7">
        <v>7760</v>
      </c>
      <c r="F17" s="7">
        <v>7680</v>
      </c>
      <c r="G17" s="7">
        <v>7600</v>
      </c>
      <c r="H17" s="7">
        <v>5892.1</v>
      </c>
    </row>
    <row r="18" spans="2:8" x14ac:dyDescent="0.55000000000000004">
      <c r="B18" s="8" t="s">
        <v>186</v>
      </c>
      <c r="C18" s="10">
        <v>5500</v>
      </c>
      <c r="D18" s="10">
        <v>5500</v>
      </c>
      <c r="E18" s="10">
        <v>5500</v>
      </c>
      <c r="F18" s="10">
        <v>5500</v>
      </c>
      <c r="G18" s="10">
        <v>5500</v>
      </c>
      <c r="H18" s="10">
        <v>5500</v>
      </c>
    </row>
    <row r="19" spans="2:8" x14ac:dyDescent="0.55000000000000004">
      <c r="B19" s="6" t="s">
        <v>187</v>
      </c>
      <c r="C19" s="7">
        <v>3500</v>
      </c>
      <c r="D19" s="7">
        <v>3500</v>
      </c>
      <c r="E19" s="7">
        <v>3500</v>
      </c>
      <c r="F19" s="7">
        <v>3500</v>
      </c>
      <c r="G19" s="7">
        <v>3500</v>
      </c>
      <c r="H19" s="7">
        <v>3500</v>
      </c>
    </row>
    <row r="21" spans="2:8" x14ac:dyDescent="0.55000000000000004">
      <c r="B21" s="52" t="s">
        <v>188</v>
      </c>
      <c r="C21" s="53"/>
      <c r="D21" s="53"/>
      <c r="E21" s="53"/>
      <c r="F21" s="53"/>
      <c r="G21" s="54"/>
    </row>
    <row r="22" spans="2:8" x14ac:dyDescent="0.55000000000000004">
      <c r="B22" s="21" t="s">
        <v>189</v>
      </c>
      <c r="C22" s="22" t="s">
        <v>69</v>
      </c>
      <c r="D22" s="22" t="s">
        <v>70</v>
      </c>
      <c r="E22" s="22" t="s">
        <v>71</v>
      </c>
      <c r="F22" s="22" t="s">
        <v>72</v>
      </c>
      <c r="G22" s="22" t="s">
        <v>73</v>
      </c>
      <c r="H22" s="22" t="s">
        <v>74</v>
      </c>
    </row>
    <row r="23" spans="2:8" x14ac:dyDescent="0.55000000000000004">
      <c r="B23" s="6" t="s">
        <v>190</v>
      </c>
      <c r="C23" s="7">
        <v>500</v>
      </c>
      <c r="D23" s="7">
        <v>471.4</v>
      </c>
      <c r="E23" s="7">
        <v>193.1</v>
      </c>
      <c r="F23" s="7">
        <v>0</v>
      </c>
      <c r="G23" s="7">
        <v>0</v>
      </c>
      <c r="H23" s="7">
        <v>0</v>
      </c>
    </row>
    <row r="24" spans="2:8" x14ac:dyDescent="0.55000000000000004">
      <c r="B24" s="8" t="s">
        <v>191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</row>
    <row r="25" spans="2:8" x14ac:dyDescent="0.55000000000000004">
      <c r="B25" s="6" t="s">
        <v>175</v>
      </c>
      <c r="C25" s="7">
        <v>28.6</v>
      </c>
      <c r="D25" s="7">
        <v>278.3</v>
      </c>
      <c r="E25" s="7">
        <v>193.1</v>
      </c>
      <c r="F25" s="7">
        <v>0</v>
      </c>
      <c r="G25" s="7">
        <v>0</v>
      </c>
      <c r="H25" s="7">
        <v>0</v>
      </c>
    </row>
    <row r="26" spans="2:8" x14ac:dyDescent="0.55000000000000004">
      <c r="B26" s="8" t="s">
        <v>176</v>
      </c>
      <c r="C26" s="10">
        <v>28.6</v>
      </c>
      <c r="D26" s="10">
        <v>278.3</v>
      </c>
      <c r="E26" s="10">
        <v>193.1</v>
      </c>
      <c r="F26" s="10">
        <v>0</v>
      </c>
      <c r="G26" s="10">
        <v>0</v>
      </c>
      <c r="H26" s="10">
        <v>0</v>
      </c>
    </row>
    <row r="27" spans="2:8" x14ac:dyDescent="0.55000000000000004">
      <c r="B27" s="6" t="s">
        <v>192</v>
      </c>
      <c r="C27" s="7">
        <f t="shared" ref="C27:H27" si="1">C23-C24-C25</f>
        <v>471.4</v>
      </c>
      <c r="D27" s="7">
        <f t="shared" si="1"/>
        <v>193.09999999999997</v>
      </c>
      <c r="E27" s="7">
        <f t="shared" si="1"/>
        <v>0</v>
      </c>
      <c r="F27" s="7">
        <f t="shared" si="1"/>
        <v>0</v>
      </c>
      <c r="G27" s="7">
        <f t="shared" si="1"/>
        <v>0</v>
      </c>
      <c r="H27" s="7">
        <f t="shared" si="1"/>
        <v>0</v>
      </c>
    </row>
    <row r="28" spans="2:8" x14ac:dyDescent="0.55000000000000004">
      <c r="B28" s="8" t="s">
        <v>193</v>
      </c>
      <c r="C28" s="41" t="s">
        <v>194</v>
      </c>
      <c r="D28" s="41" t="s">
        <v>194</v>
      </c>
      <c r="E28" s="41" t="s">
        <v>194</v>
      </c>
      <c r="F28" s="41" t="s">
        <v>194</v>
      </c>
      <c r="G28" s="41" t="s">
        <v>194</v>
      </c>
      <c r="H28" s="41" t="s">
        <v>194</v>
      </c>
    </row>
    <row r="29" spans="2:8" x14ac:dyDescent="0.55000000000000004">
      <c r="B29" s="6" t="s">
        <v>180</v>
      </c>
      <c r="C29" s="7">
        <v>37.9</v>
      </c>
      <c r="D29" s="7">
        <v>25.9</v>
      </c>
      <c r="E29" s="7">
        <v>7.5</v>
      </c>
      <c r="F29" s="7">
        <v>0</v>
      </c>
      <c r="G29" s="7">
        <v>0</v>
      </c>
      <c r="H29" s="7">
        <v>0</v>
      </c>
    </row>
    <row r="30" spans="2:8" x14ac:dyDescent="0.55000000000000004">
      <c r="B30" s="8" t="s">
        <v>179</v>
      </c>
      <c r="C30" s="10">
        <v>0.5</v>
      </c>
      <c r="D30" s="10">
        <v>0.5</v>
      </c>
      <c r="E30" s="10">
        <v>0.5</v>
      </c>
      <c r="F30" s="10">
        <v>0.5</v>
      </c>
      <c r="G30" s="10">
        <v>0.5</v>
      </c>
      <c r="H30" s="10">
        <v>0.5</v>
      </c>
    </row>
    <row r="32" spans="2:8" x14ac:dyDescent="0.55000000000000004">
      <c r="B32" s="52" t="s">
        <v>195</v>
      </c>
      <c r="C32" s="53"/>
      <c r="D32" s="53"/>
      <c r="E32" s="53"/>
      <c r="F32" s="53"/>
      <c r="G32" s="54"/>
    </row>
    <row r="33" spans="2:8" x14ac:dyDescent="0.55000000000000004">
      <c r="B33" s="21" t="s">
        <v>189</v>
      </c>
      <c r="C33" s="22" t="s">
        <v>69</v>
      </c>
      <c r="D33" s="22" t="s">
        <v>70</v>
      </c>
      <c r="E33" s="22" t="s">
        <v>71</v>
      </c>
      <c r="F33" s="22" t="s">
        <v>72</v>
      </c>
      <c r="G33" s="22" t="s">
        <v>73</v>
      </c>
      <c r="H33" s="22" t="s">
        <v>74</v>
      </c>
    </row>
    <row r="34" spans="2:8" x14ac:dyDescent="0.55000000000000004">
      <c r="B34" s="6" t="s">
        <v>190</v>
      </c>
      <c r="C34" s="7">
        <v>4000</v>
      </c>
      <c r="D34" s="7">
        <v>3800</v>
      </c>
      <c r="E34" s="7">
        <v>3600</v>
      </c>
      <c r="F34" s="7">
        <v>3020.3</v>
      </c>
      <c r="G34" s="7">
        <v>1901.3</v>
      </c>
      <c r="H34" s="7">
        <v>375.1</v>
      </c>
    </row>
    <row r="35" spans="2:8" x14ac:dyDescent="0.55000000000000004">
      <c r="B35" s="8" t="s">
        <v>191</v>
      </c>
      <c r="C35" s="10">
        <v>200</v>
      </c>
      <c r="D35" s="10">
        <v>200</v>
      </c>
      <c r="E35" s="10">
        <v>200</v>
      </c>
      <c r="F35" s="10">
        <v>200</v>
      </c>
      <c r="G35" s="10">
        <v>200</v>
      </c>
      <c r="H35" s="10">
        <v>200</v>
      </c>
    </row>
    <row r="36" spans="2:8" x14ac:dyDescent="0.55000000000000004">
      <c r="B36" s="6" t="s">
        <v>175</v>
      </c>
      <c r="C36" s="7">
        <v>0</v>
      </c>
      <c r="D36" s="7">
        <v>0</v>
      </c>
      <c r="E36" s="7">
        <v>379.7</v>
      </c>
      <c r="F36" s="7">
        <v>919</v>
      </c>
      <c r="G36" s="7">
        <v>1326.2</v>
      </c>
      <c r="H36" s="7">
        <v>175.1</v>
      </c>
    </row>
    <row r="37" spans="2:8" x14ac:dyDescent="0.55000000000000004">
      <c r="B37" s="8" t="s">
        <v>176</v>
      </c>
      <c r="C37" s="10">
        <v>200</v>
      </c>
      <c r="D37" s="10">
        <v>200</v>
      </c>
      <c r="E37" s="10">
        <v>579.70000000000005</v>
      </c>
      <c r="F37" s="10">
        <v>1119</v>
      </c>
      <c r="G37" s="10">
        <v>1526.2</v>
      </c>
      <c r="H37" s="10">
        <v>375.1</v>
      </c>
    </row>
    <row r="38" spans="2:8" x14ac:dyDescent="0.55000000000000004">
      <c r="B38" s="6" t="s">
        <v>192</v>
      </c>
      <c r="C38" s="7">
        <f t="shared" ref="C38:H38" si="2">C34-C35-C36</f>
        <v>3800</v>
      </c>
      <c r="D38" s="7">
        <f t="shared" si="2"/>
        <v>3600</v>
      </c>
      <c r="E38" s="7">
        <f t="shared" si="2"/>
        <v>3020.3</v>
      </c>
      <c r="F38" s="7">
        <f t="shared" si="2"/>
        <v>1901.3000000000002</v>
      </c>
      <c r="G38" s="7">
        <f t="shared" si="2"/>
        <v>375.09999999999991</v>
      </c>
      <c r="H38" s="7">
        <f t="shared" si="2"/>
        <v>0</v>
      </c>
    </row>
    <row r="39" spans="2:8" x14ac:dyDescent="0.55000000000000004">
      <c r="B39" s="8" t="s">
        <v>193</v>
      </c>
      <c r="C39" s="41" t="s">
        <v>196</v>
      </c>
      <c r="D39" s="41" t="s">
        <v>196</v>
      </c>
      <c r="E39" s="41" t="s">
        <v>196</v>
      </c>
      <c r="F39" s="41" t="s">
        <v>196</v>
      </c>
      <c r="G39" s="41" t="s">
        <v>196</v>
      </c>
      <c r="H39" s="41" t="s">
        <v>196</v>
      </c>
    </row>
    <row r="40" spans="2:8" x14ac:dyDescent="0.55000000000000004">
      <c r="B40" s="6" t="s">
        <v>180</v>
      </c>
      <c r="C40" s="7">
        <v>313.89999999999998</v>
      </c>
      <c r="D40" s="7">
        <v>297.89999999999998</v>
      </c>
      <c r="E40" s="7">
        <v>266.5</v>
      </c>
      <c r="F40" s="7">
        <v>198.1</v>
      </c>
      <c r="G40" s="7">
        <v>91.6</v>
      </c>
      <c r="H40" s="7">
        <v>15.1</v>
      </c>
    </row>
    <row r="41" spans="2:8" x14ac:dyDescent="0.55000000000000004">
      <c r="B41" s="8" t="s">
        <v>179</v>
      </c>
      <c r="C41" s="10">
        <v>8</v>
      </c>
      <c r="D41" s="10">
        <v>8</v>
      </c>
      <c r="E41" s="10">
        <v>8</v>
      </c>
      <c r="F41" s="10">
        <v>8</v>
      </c>
      <c r="G41" s="10">
        <v>8</v>
      </c>
      <c r="H41" s="10">
        <v>8</v>
      </c>
    </row>
    <row r="43" spans="2:8" x14ac:dyDescent="0.55000000000000004">
      <c r="B43" s="52" t="s">
        <v>197</v>
      </c>
      <c r="C43" s="53"/>
      <c r="D43" s="53"/>
      <c r="E43" s="53"/>
      <c r="F43" s="53"/>
      <c r="G43" s="54"/>
    </row>
    <row r="44" spans="2:8" x14ac:dyDescent="0.55000000000000004">
      <c r="B44" s="21" t="s">
        <v>189</v>
      </c>
      <c r="C44" s="22" t="s">
        <v>69</v>
      </c>
      <c r="D44" s="22" t="s">
        <v>70</v>
      </c>
      <c r="E44" s="22" t="s">
        <v>71</v>
      </c>
      <c r="F44" s="22" t="s">
        <v>72</v>
      </c>
      <c r="G44" s="22" t="s">
        <v>73</v>
      </c>
      <c r="H44" s="22" t="s">
        <v>74</v>
      </c>
    </row>
    <row r="45" spans="2:8" x14ac:dyDescent="0.55000000000000004">
      <c r="B45" s="6" t="s">
        <v>190</v>
      </c>
      <c r="C45" s="7">
        <v>8000</v>
      </c>
      <c r="D45" s="7">
        <v>7920</v>
      </c>
      <c r="E45" s="7">
        <v>7840</v>
      </c>
      <c r="F45" s="7">
        <v>7760</v>
      </c>
      <c r="G45" s="7">
        <v>7680</v>
      </c>
      <c r="H45" s="7">
        <v>7600</v>
      </c>
    </row>
    <row r="46" spans="2:8" x14ac:dyDescent="0.55000000000000004">
      <c r="B46" s="8" t="s">
        <v>191</v>
      </c>
      <c r="C46" s="10">
        <v>80</v>
      </c>
      <c r="D46" s="10">
        <v>80</v>
      </c>
      <c r="E46" s="10">
        <v>80</v>
      </c>
      <c r="F46" s="10">
        <v>80</v>
      </c>
      <c r="G46" s="10">
        <v>80</v>
      </c>
      <c r="H46" s="10">
        <v>80</v>
      </c>
    </row>
    <row r="47" spans="2:8" x14ac:dyDescent="0.55000000000000004">
      <c r="B47" s="6" t="s">
        <v>175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1627.9</v>
      </c>
    </row>
    <row r="48" spans="2:8" x14ac:dyDescent="0.55000000000000004">
      <c r="B48" s="8" t="s">
        <v>176</v>
      </c>
      <c r="C48" s="10">
        <v>80</v>
      </c>
      <c r="D48" s="10">
        <v>80</v>
      </c>
      <c r="E48" s="10">
        <v>80</v>
      </c>
      <c r="F48" s="10">
        <v>80</v>
      </c>
      <c r="G48" s="10">
        <v>80</v>
      </c>
      <c r="H48" s="10">
        <v>1707.9</v>
      </c>
    </row>
    <row r="49" spans="2:8" x14ac:dyDescent="0.55000000000000004">
      <c r="B49" s="6" t="s">
        <v>192</v>
      </c>
      <c r="C49" s="7">
        <f t="shared" ref="C49:H49" si="3">C45-C46-C47</f>
        <v>7920</v>
      </c>
      <c r="D49" s="7">
        <f t="shared" si="3"/>
        <v>7840</v>
      </c>
      <c r="E49" s="7">
        <f t="shared" si="3"/>
        <v>7760</v>
      </c>
      <c r="F49" s="7">
        <f t="shared" si="3"/>
        <v>7680</v>
      </c>
      <c r="G49" s="7">
        <f t="shared" si="3"/>
        <v>7600</v>
      </c>
      <c r="H49" s="7">
        <f t="shared" si="3"/>
        <v>5892.1</v>
      </c>
    </row>
    <row r="50" spans="2:8" x14ac:dyDescent="0.55000000000000004">
      <c r="B50" s="8" t="s">
        <v>193</v>
      </c>
      <c r="C50" s="41" t="s">
        <v>198</v>
      </c>
      <c r="D50" s="41" t="s">
        <v>198</v>
      </c>
      <c r="E50" s="41" t="s">
        <v>198</v>
      </c>
      <c r="F50" s="41" t="s">
        <v>198</v>
      </c>
      <c r="G50" s="41" t="s">
        <v>198</v>
      </c>
      <c r="H50" s="41" t="s">
        <v>198</v>
      </c>
    </row>
    <row r="51" spans="2:8" x14ac:dyDescent="0.55000000000000004">
      <c r="B51" s="6" t="s">
        <v>180</v>
      </c>
      <c r="C51" s="7">
        <v>740.3</v>
      </c>
      <c r="D51" s="7">
        <v>732.8</v>
      </c>
      <c r="E51" s="7">
        <v>725.4</v>
      </c>
      <c r="F51" s="7">
        <v>718</v>
      </c>
      <c r="G51" s="7">
        <v>710.5</v>
      </c>
      <c r="H51" s="7">
        <v>627.4</v>
      </c>
    </row>
    <row r="52" spans="2:8" x14ac:dyDescent="0.55000000000000004">
      <c r="B52" s="8" t="s">
        <v>179</v>
      </c>
      <c r="C52" s="10">
        <v>22.9</v>
      </c>
      <c r="D52" s="10">
        <v>22.9</v>
      </c>
      <c r="E52" s="10">
        <v>22.9</v>
      </c>
      <c r="F52" s="10">
        <v>22.9</v>
      </c>
      <c r="G52" s="10">
        <v>22.9</v>
      </c>
      <c r="H52" s="10">
        <v>22.9</v>
      </c>
    </row>
    <row r="54" spans="2:8" x14ac:dyDescent="0.55000000000000004">
      <c r="B54" s="52" t="s">
        <v>199</v>
      </c>
      <c r="C54" s="53"/>
      <c r="D54" s="53"/>
      <c r="E54" s="53"/>
      <c r="F54" s="53"/>
      <c r="G54" s="54"/>
    </row>
    <row r="55" spans="2:8" x14ac:dyDescent="0.55000000000000004">
      <c r="B55" s="21" t="s">
        <v>189</v>
      </c>
      <c r="C55" s="22" t="s">
        <v>69</v>
      </c>
      <c r="D55" s="22" t="s">
        <v>70</v>
      </c>
      <c r="E55" s="22" t="s">
        <v>71</v>
      </c>
      <c r="F55" s="22" t="s">
        <v>72</v>
      </c>
      <c r="G55" s="22" t="s">
        <v>73</v>
      </c>
      <c r="H55" s="22" t="s">
        <v>74</v>
      </c>
    </row>
    <row r="56" spans="2:8" x14ac:dyDescent="0.55000000000000004">
      <c r="B56" s="6" t="s">
        <v>190</v>
      </c>
      <c r="C56" s="7">
        <v>5500</v>
      </c>
      <c r="D56" s="7">
        <v>5500</v>
      </c>
      <c r="E56" s="7">
        <v>5500</v>
      </c>
      <c r="F56" s="7">
        <v>5500</v>
      </c>
      <c r="G56" s="7">
        <v>5500</v>
      </c>
      <c r="H56" s="7">
        <v>5500</v>
      </c>
    </row>
    <row r="57" spans="2:8" x14ac:dyDescent="0.55000000000000004">
      <c r="B57" s="8" t="s">
        <v>191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</row>
    <row r="58" spans="2:8" x14ac:dyDescent="0.55000000000000004">
      <c r="B58" s="6" t="s">
        <v>175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spans="2:8" x14ac:dyDescent="0.55000000000000004">
      <c r="B59" s="8" t="s">
        <v>176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</row>
    <row r="60" spans="2:8" x14ac:dyDescent="0.55000000000000004">
      <c r="B60" s="6" t="s">
        <v>192</v>
      </c>
      <c r="C60" s="7">
        <f t="shared" ref="C60:H60" si="4">C56-C57-C58</f>
        <v>5500</v>
      </c>
      <c r="D60" s="7">
        <f t="shared" si="4"/>
        <v>5500</v>
      </c>
      <c r="E60" s="7">
        <f t="shared" si="4"/>
        <v>5500</v>
      </c>
      <c r="F60" s="7">
        <f t="shared" si="4"/>
        <v>5500</v>
      </c>
      <c r="G60" s="7">
        <f t="shared" si="4"/>
        <v>5500</v>
      </c>
      <c r="H60" s="7">
        <f t="shared" si="4"/>
        <v>5500</v>
      </c>
    </row>
    <row r="61" spans="2:8" x14ac:dyDescent="0.55000000000000004">
      <c r="B61" s="8" t="s">
        <v>193</v>
      </c>
      <c r="C61" s="41" t="s">
        <v>200</v>
      </c>
      <c r="D61" s="41" t="s">
        <v>200</v>
      </c>
      <c r="E61" s="41" t="s">
        <v>200</v>
      </c>
      <c r="F61" s="41" t="s">
        <v>200</v>
      </c>
      <c r="G61" s="41" t="s">
        <v>200</v>
      </c>
      <c r="H61" s="41" t="s">
        <v>200</v>
      </c>
    </row>
    <row r="62" spans="2:8" x14ac:dyDescent="0.55000000000000004">
      <c r="B62" s="6" t="s">
        <v>180</v>
      </c>
      <c r="C62" s="7">
        <v>398.8</v>
      </c>
      <c r="D62" s="7">
        <v>398.8</v>
      </c>
      <c r="E62" s="7">
        <v>398.8</v>
      </c>
      <c r="F62" s="7">
        <v>398.8</v>
      </c>
      <c r="G62" s="7">
        <v>398.8</v>
      </c>
      <c r="H62" s="7">
        <v>398.8</v>
      </c>
    </row>
    <row r="63" spans="2:8" x14ac:dyDescent="0.55000000000000004">
      <c r="B63" s="8" t="s">
        <v>179</v>
      </c>
      <c r="C63" s="10">
        <v>10.3</v>
      </c>
      <c r="D63" s="10">
        <v>10.3</v>
      </c>
      <c r="E63" s="10">
        <v>10.3</v>
      </c>
      <c r="F63" s="10">
        <v>10.3</v>
      </c>
      <c r="G63" s="10">
        <v>10.3</v>
      </c>
      <c r="H63" s="10">
        <v>10.3</v>
      </c>
    </row>
    <row r="65" spans="2:8" x14ac:dyDescent="0.55000000000000004">
      <c r="B65" s="52" t="s">
        <v>201</v>
      </c>
      <c r="C65" s="53"/>
      <c r="D65" s="53"/>
      <c r="E65" s="53"/>
      <c r="F65" s="53"/>
      <c r="G65" s="54"/>
    </row>
    <row r="66" spans="2:8" x14ac:dyDescent="0.55000000000000004">
      <c r="B66" s="21" t="s">
        <v>189</v>
      </c>
      <c r="C66" s="22" t="s">
        <v>69</v>
      </c>
      <c r="D66" s="22" t="s">
        <v>70</v>
      </c>
      <c r="E66" s="22" t="s">
        <v>71</v>
      </c>
      <c r="F66" s="22" t="s">
        <v>72</v>
      </c>
      <c r="G66" s="22" t="s">
        <v>73</v>
      </c>
      <c r="H66" s="22" t="s">
        <v>74</v>
      </c>
    </row>
    <row r="67" spans="2:8" x14ac:dyDescent="0.55000000000000004">
      <c r="B67" s="6" t="s">
        <v>190</v>
      </c>
      <c r="C67" s="7">
        <v>3500</v>
      </c>
      <c r="D67" s="7">
        <v>3500</v>
      </c>
      <c r="E67" s="7">
        <v>3500</v>
      </c>
      <c r="F67" s="7">
        <v>3500</v>
      </c>
      <c r="G67" s="7">
        <v>3500</v>
      </c>
      <c r="H67" s="7">
        <v>3500</v>
      </c>
    </row>
    <row r="68" spans="2:8" x14ac:dyDescent="0.55000000000000004">
      <c r="B68" s="8" t="s">
        <v>191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</row>
    <row r="69" spans="2:8" x14ac:dyDescent="0.55000000000000004">
      <c r="B69" s="6" t="s">
        <v>175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</row>
    <row r="70" spans="2:8" x14ac:dyDescent="0.55000000000000004">
      <c r="B70" s="8" t="s">
        <v>176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</row>
    <row r="71" spans="2:8" x14ac:dyDescent="0.55000000000000004">
      <c r="B71" s="6" t="s">
        <v>192</v>
      </c>
      <c r="C71" s="7">
        <f t="shared" ref="C71:H71" si="5">C67-C68-C69</f>
        <v>3500</v>
      </c>
      <c r="D71" s="7">
        <f t="shared" si="5"/>
        <v>3500</v>
      </c>
      <c r="E71" s="7">
        <f t="shared" si="5"/>
        <v>3500</v>
      </c>
      <c r="F71" s="7">
        <f t="shared" si="5"/>
        <v>3500</v>
      </c>
      <c r="G71" s="7">
        <f t="shared" si="5"/>
        <v>3500</v>
      </c>
      <c r="H71" s="7">
        <f t="shared" si="5"/>
        <v>3500</v>
      </c>
    </row>
    <row r="72" spans="2:8" x14ac:dyDescent="0.55000000000000004">
      <c r="B72" s="8" t="s">
        <v>193</v>
      </c>
      <c r="C72" s="41" t="s">
        <v>202</v>
      </c>
      <c r="D72" s="41" t="s">
        <v>202</v>
      </c>
      <c r="E72" s="41" t="s">
        <v>202</v>
      </c>
      <c r="F72" s="41" t="s">
        <v>202</v>
      </c>
      <c r="G72" s="41" t="s">
        <v>202</v>
      </c>
      <c r="H72" s="41" t="s">
        <v>202</v>
      </c>
    </row>
    <row r="73" spans="2:8" x14ac:dyDescent="0.55000000000000004">
      <c r="B73" s="6" t="s">
        <v>180</v>
      </c>
      <c r="C73" s="7">
        <v>315</v>
      </c>
      <c r="D73" s="7">
        <v>315</v>
      </c>
      <c r="E73" s="7">
        <v>315</v>
      </c>
      <c r="F73" s="7">
        <v>315</v>
      </c>
      <c r="G73" s="7">
        <v>315</v>
      </c>
      <c r="H73" s="7">
        <v>315</v>
      </c>
    </row>
    <row r="74" spans="2:8" x14ac:dyDescent="0.55000000000000004">
      <c r="B74" s="8" t="s">
        <v>179</v>
      </c>
      <c r="C74" s="10">
        <v>7</v>
      </c>
      <c r="D74" s="10">
        <v>7</v>
      </c>
      <c r="E74" s="10">
        <v>7</v>
      </c>
      <c r="F74" s="10">
        <v>7</v>
      </c>
      <c r="G74" s="10">
        <v>7</v>
      </c>
      <c r="H74" s="10">
        <v>7</v>
      </c>
    </row>
  </sheetData>
  <mergeCells count="7">
    <mergeCell ref="B3:G3"/>
    <mergeCell ref="B54:G54"/>
    <mergeCell ref="B1:H1"/>
    <mergeCell ref="B32:G32"/>
    <mergeCell ref="B65:G65"/>
    <mergeCell ref="B43:G43"/>
    <mergeCell ref="B21:G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34"/>
  <sheetViews>
    <sheetView showGridLines="0" workbookViewId="0"/>
  </sheetViews>
  <sheetFormatPr defaultRowHeight="14.4" x14ac:dyDescent="0.55000000000000004"/>
  <cols>
    <col min="1" max="1" width="3" customWidth="1"/>
    <col min="2" max="2" width="38" customWidth="1"/>
    <col min="3" max="5" width="22" customWidth="1"/>
  </cols>
  <sheetData>
    <row r="1" spans="2:5" ht="22" customHeight="1" x14ac:dyDescent="0.55000000000000004">
      <c r="B1" s="61" t="s">
        <v>203</v>
      </c>
      <c r="C1" s="56"/>
      <c r="D1" s="56"/>
      <c r="E1" s="56"/>
    </row>
    <row r="3" spans="2:5" x14ac:dyDescent="0.55000000000000004">
      <c r="B3" s="52" t="s">
        <v>204</v>
      </c>
      <c r="C3" s="53"/>
      <c r="D3" s="54"/>
    </row>
    <row r="4" spans="2:5" x14ac:dyDescent="0.55000000000000004">
      <c r="B4" s="6" t="s">
        <v>9</v>
      </c>
      <c r="C4" s="7">
        <v>16751.099999999999</v>
      </c>
      <c r="D4" s="57"/>
      <c r="E4" s="56"/>
    </row>
    <row r="5" spans="2:5" x14ac:dyDescent="0.55000000000000004">
      <c r="B5" s="8" t="s">
        <v>13</v>
      </c>
      <c r="C5" s="10">
        <v>56480.4</v>
      </c>
      <c r="D5" s="55"/>
      <c r="E5" s="56"/>
    </row>
    <row r="6" spans="2:5" x14ac:dyDescent="0.55000000000000004">
      <c r="B6" s="1" t="s">
        <v>3</v>
      </c>
      <c r="C6" s="42">
        <v>0.2245480841440656</v>
      </c>
      <c r="D6" s="57"/>
      <c r="E6" s="56"/>
    </row>
    <row r="7" spans="2:5" x14ac:dyDescent="0.55000000000000004">
      <c r="B7" s="4" t="s">
        <v>5</v>
      </c>
      <c r="C7" s="43">
        <v>3.3717476153720942</v>
      </c>
      <c r="D7" s="55"/>
      <c r="E7" s="56"/>
    </row>
    <row r="8" spans="2:5" x14ac:dyDescent="0.55000000000000004">
      <c r="B8" s="6" t="s">
        <v>45</v>
      </c>
      <c r="C8" s="18">
        <v>6</v>
      </c>
      <c r="D8" s="57"/>
      <c r="E8" s="56"/>
    </row>
    <row r="9" spans="2:5" x14ac:dyDescent="0.55000000000000004">
      <c r="B9" s="8" t="s">
        <v>7</v>
      </c>
      <c r="C9" s="10">
        <v>37107</v>
      </c>
      <c r="D9" s="55"/>
      <c r="E9" s="56"/>
    </row>
    <row r="10" spans="2:5" x14ac:dyDescent="0.55000000000000004">
      <c r="B10" s="6" t="s">
        <v>42</v>
      </c>
      <c r="C10" s="13">
        <v>10.5</v>
      </c>
      <c r="D10" s="57"/>
      <c r="E10" s="56"/>
    </row>
    <row r="11" spans="2:5" x14ac:dyDescent="0.55000000000000004">
      <c r="B11" s="8" t="s">
        <v>205</v>
      </c>
      <c r="C11" s="10">
        <v>3534</v>
      </c>
      <c r="D11" s="55"/>
      <c r="E11" s="56"/>
    </row>
    <row r="12" spans="2:5" x14ac:dyDescent="0.55000000000000004">
      <c r="B12" s="6" t="s">
        <v>206</v>
      </c>
      <c r="C12" s="7">
        <v>21200</v>
      </c>
      <c r="D12" s="57"/>
      <c r="E12" s="56"/>
    </row>
    <row r="13" spans="2:5" x14ac:dyDescent="0.55000000000000004">
      <c r="B13" s="8" t="s">
        <v>11</v>
      </c>
      <c r="C13" s="10">
        <v>71372.5</v>
      </c>
      <c r="D13" s="55"/>
      <c r="E13" s="56"/>
    </row>
    <row r="14" spans="2:5" x14ac:dyDescent="0.55000000000000004">
      <c r="B14" s="6" t="s">
        <v>46</v>
      </c>
      <c r="C14" s="13">
        <v>12.5</v>
      </c>
      <c r="D14" s="57"/>
      <c r="E14" s="56"/>
    </row>
    <row r="15" spans="2:5" x14ac:dyDescent="0.55000000000000004">
      <c r="B15" s="8" t="s">
        <v>207</v>
      </c>
      <c r="C15" s="10">
        <v>5709.8</v>
      </c>
      <c r="D15" s="55"/>
      <c r="E15" s="56"/>
    </row>
    <row r="16" spans="2:5" x14ac:dyDescent="0.55000000000000004">
      <c r="B16" s="6" t="s">
        <v>208</v>
      </c>
      <c r="C16" s="7">
        <v>14892.1</v>
      </c>
      <c r="D16" s="57"/>
      <c r="E16" s="56"/>
    </row>
    <row r="18" spans="2:5" x14ac:dyDescent="0.55000000000000004">
      <c r="B18" s="52" t="s">
        <v>209</v>
      </c>
      <c r="C18" s="53"/>
      <c r="D18" s="54"/>
    </row>
    <row r="19" spans="2:5" x14ac:dyDescent="0.55000000000000004">
      <c r="B19" s="21" t="s">
        <v>210</v>
      </c>
      <c r="C19" s="23">
        <v>15907</v>
      </c>
      <c r="D19" s="64"/>
      <c r="E19" s="56"/>
    </row>
    <row r="20" spans="2:5" x14ac:dyDescent="0.55000000000000004">
      <c r="B20" s="8" t="s">
        <v>211</v>
      </c>
      <c r="C20" s="10">
        <v>22845.9</v>
      </c>
      <c r="D20" s="55"/>
      <c r="E20" s="56"/>
    </row>
    <row r="21" spans="2:5" x14ac:dyDescent="0.55000000000000004">
      <c r="B21" s="6" t="s">
        <v>212</v>
      </c>
      <c r="C21" s="7">
        <v>11419.6</v>
      </c>
      <c r="D21" s="57"/>
      <c r="E21" s="56"/>
    </row>
    <row r="22" spans="2:5" x14ac:dyDescent="0.55000000000000004">
      <c r="B22" s="8" t="s">
        <v>213</v>
      </c>
      <c r="C22" s="10">
        <v>6307.9</v>
      </c>
      <c r="D22" s="55"/>
      <c r="E22" s="56"/>
    </row>
    <row r="23" spans="2:5" x14ac:dyDescent="0.55000000000000004">
      <c r="B23" s="21" t="s">
        <v>214</v>
      </c>
      <c r="C23" s="23">
        <f>C20+C21+C22</f>
        <v>40573.4</v>
      </c>
      <c r="D23" s="64"/>
      <c r="E23" s="56"/>
    </row>
    <row r="24" spans="2:5" x14ac:dyDescent="0.55000000000000004">
      <c r="B24" s="21" t="s">
        <v>215</v>
      </c>
      <c r="C24" s="23">
        <f>C19+C23</f>
        <v>56480.4</v>
      </c>
      <c r="D24" s="64"/>
      <c r="E24" s="56"/>
    </row>
    <row r="26" spans="2:5" x14ac:dyDescent="0.55000000000000004">
      <c r="B26" s="52" t="s">
        <v>216</v>
      </c>
      <c r="C26" s="53"/>
      <c r="D26" s="54"/>
    </row>
    <row r="27" spans="2:5" x14ac:dyDescent="0.55000000000000004">
      <c r="B27" s="21" t="s">
        <v>217</v>
      </c>
      <c r="C27" s="22" t="s">
        <v>218</v>
      </c>
    </row>
    <row r="28" spans="2:5" x14ac:dyDescent="0.55000000000000004">
      <c r="B28" s="1" t="s">
        <v>219</v>
      </c>
      <c r="C28" s="35">
        <v>-16751.099999999999</v>
      </c>
    </row>
    <row r="29" spans="2:5" x14ac:dyDescent="0.55000000000000004">
      <c r="B29" s="8" t="s">
        <v>69</v>
      </c>
      <c r="C29" s="10">
        <v>0</v>
      </c>
    </row>
    <row r="30" spans="2:5" x14ac:dyDescent="0.55000000000000004">
      <c r="B30" s="6" t="s">
        <v>70</v>
      </c>
      <c r="C30" s="7">
        <v>0</v>
      </c>
    </row>
    <row r="31" spans="2:5" x14ac:dyDescent="0.55000000000000004">
      <c r="B31" s="8" t="s">
        <v>71</v>
      </c>
      <c r="C31" s="10">
        <v>0</v>
      </c>
    </row>
    <row r="32" spans="2:5" x14ac:dyDescent="0.55000000000000004">
      <c r="B32" s="6" t="s">
        <v>72</v>
      </c>
      <c r="C32" s="7">
        <v>0</v>
      </c>
    </row>
    <row r="33" spans="2:3" x14ac:dyDescent="0.55000000000000004">
      <c r="B33" s="8" t="s">
        <v>73</v>
      </c>
      <c r="C33" s="10">
        <v>0</v>
      </c>
    </row>
    <row r="34" spans="2:3" x14ac:dyDescent="0.55000000000000004">
      <c r="B34" s="21" t="s">
        <v>220</v>
      </c>
      <c r="C34" s="23">
        <v>56480.4</v>
      </c>
    </row>
  </sheetData>
  <mergeCells count="23">
    <mergeCell ref="B3:D3"/>
    <mergeCell ref="B1:E1"/>
    <mergeCell ref="D24:E24"/>
    <mergeCell ref="D15:E15"/>
    <mergeCell ref="D5:E5"/>
    <mergeCell ref="D23:E23"/>
    <mergeCell ref="B18:D18"/>
    <mergeCell ref="D14:E14"/>
    <mergeCell ref="B26:D26"/>
    <mergeCell ref="D4:E4"/>
    <mergeCell ref="D9:E9"/>
    <mergeCell ref="D12:E12"/>
    <mergeCell ref="D8:E8"/>
    <mergeCell ref="D6:E6"/>
    <mergeCell ref="D11:E11"/>
    <mergeCell ref="D13:E13"/>
    <mergeCell ref="D16:E16"/>
    <mergeCell ref="D7:E7"/>
    <mergeCell ref="D20:E20"/>
    <mergeCell ref="D10:E10"/>
    <mergeCell ref="D19:E19"/>
    <mergeCell ref="D22:E22"/>
    <mergeCell ref="D21:E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31"/>
  <sheetViews>
    <sheetView showGridLines="0" workbookViewId="0"/>
  </sheetViews>
  <sheetFormatPr defaultRowHeight="14.4" x14ac:dyDescent="0.55000000000000004"/>
  <cols>
    <col min="1" max="1" width="3" customWidth="1"/>
    <col min="2" max="2" width="30" customWidth="1"/>
    <col min="3" max="8" width="16" customWidth="1"/>
  </cols>
  <sheetData>
    <row r="1" spans="2:8" ht="22" customHeight="1" x14ac:dyDescent="0.55000000000000004">
      <c r="B1" s="61" t="s">
        <v>221</v>
      </c>
      <c r="C1" s="56"/>
      <c r="D1" s="56"/>
      <c r="E1" s="56"/>
      <c r="F1" s="56"/>
      <c r="G1" s="56"/>
      <c r="H1" s="56"/>
    </row>
    <row r="3" spans="2:8" x14ac:dyDescent="0.55000000000000004">
      <c r="B3" s="52" t="s">
        <v>222</v>
      </c>
      <c r="C3" s="53"/>
      <c r="D3" s="53"/>
      <c r="E3" s="53"/>
      <c r="F3" s="53"/>
      <c r="G3" s="54"/>
    </row>
    <row r="4" spans="2:8" x14ac:dyDescent="0.55000000000000004">
      <c r="B4" s="21" t="s">
        <v>172</v>
      </c>
      <c r="C4" s="22" t="s">
        <v>69</v>
      </c>
      <c r="D4" s="22" t="s">
        <v>70</v>
      </c>
      <c r="E4" s="22" t="s">
        <v>71</v>
      </c>
      <c r="F4" s="22" t="s">
        <v>72</v>
      </c>
      <c r="G4" s="22" t="s">
        <v>73</v>
      </c>
      <c r="H4" s="22" t="s">
        <v>74</v>
      </c>
    </row>
    <row r="5" spans="2:8" x14ac:dyDescent="0.55000000000000004">
      <c r="B5" s="6" t="s">
        <v>223</v>
      </c>
      <c r="C5" s="7">
        <v>39547</v>
      </c>
      <c r="D5" s="7">
        <v>41445.199999999997</v>
      </c>
      <c r="E5" s="7">
        <v>43558.9</v>
      </c>
      <c r="F5" s="7">
        <v>45911.1</v>
      </c>
      <c r="G5" s="7">
        <v>48528.1</v>
      </c>
      <c r="H5" s="7">
        <v>51439.7</v>
      </c>
    </row>
    <row r="6" spans="2:8" x14ac:dyDescent="0.55000000000000004">
      <c r="B6" s="8" t="s">
        <v>224</v>
      </c>
      <c r="C6" s="10">
        <v>3875.6</v>
      </c>
      <c r="D6" s="10">
        <v>4169.3999999999996</v>
      </c>
      <c r="E6" s="10">
        <v>4495.3</v>
      </c>
      <c r="F6" s="10">
        <v>4857.3999999999996</v>
      </c>
      <c r="G6" s="10">
        <v>5260.4</v>
      </c>
      <c r="H6" s="10">
        <v>5709.8</v>
      </c>
    </row>
    <row r="7" spans="2:8" x14ac:dyDescent="0.55000000000000004">
      <c r="B7" s="6" t="s">
        <v>121</v>
      </c>
      <c r="C7" s="19">
        <v>9.7999848281791285E-2</v>
      </c>
      <c r="D7" s="19">
        <v>0.10060031077181431</v>
      </c>
      <c r="E7" s="19">
        <v>0.1032004940436972</v>
      </c>
      <c r="F7" s="19">
        <v>0.1058001224104846</v>
      </c>
      <c r="G7" s="19">
        <v>0.10839905127132531</v>
      </c>
      <c r="H7" s="19">
        <v>0.11099986975040679</v>
      </c>
    </row>
    <row r="8" spans="2:8" x14ac:dyDescent="0.55000000000000004">
      <c r="B8" s="8" t="s">
        <v>225</v>
      </c>
      <c r="C8" s="10">
        <v>21191.4</v>
      </c>
      <c r="D8" s="10">
        <v>20633.099999999999</v>
      </c>
      <c r="E8" s="10">
        <v>19780.3</v>
      </c>
      <c r="F8" s="10">
        <v>18581.3</v>
      </c>
      <c r="G8" s="10">
        <v>16975.099999999999</v>
      </c>
      <c r="H8" s="10">
        <v>14892.1</v>
      </c>
    </row>
    <row r="9" spans="2:8" x14ac:dyDescent="0.55000000000000004">
      <c r="B9" s="6" t="s">
        <v>226</v>
      </c>
      <c r="C9" s="7">
        <v>20895</v>
      </c>
      <c r="D9" s="7">
        <v>20434.8</v>
      </c>
      <c r="E9" s="7">
        <v>19688.099999999999</v>
      </c>
      <c r="F9" s="7">
        <v>18581.3</v>
      </c>
      <c r="G9" s="7">
        <v>16975.099999999999</v>
      </c>
      <c r="H9" s="7">
        <v>14892.1</v>
      </c>
    </row>
    <row r="10" spans="2:8" x14ac:dyDescent="0.55000000000000004">
      <c r="B10" s="4" t="s">
        <v>181</v>
      </c>
      <c r="C10" s="44">
        <v>5.47</v>
      </c>
      <c r="D10" s="44">
        <v>4.95</v>
      </c>
      <c r="E10" s="44">
        <v>4.4000000000000004</v>
      </c>
      <c r="F10" s="44">
        <v>3.83</v>
      </c>
      <c r="G10" s="44">
        <v>3.23</v>
      </c>
      <c r="H10" s="44">
        <v>2.61</v>
      </c>
    </row>
    <row r="11" spans="2:8" x14ac:dyDescent="0.55000000000000004">
      <c r="B11" s="1" t="s">
        <v>227</v>
      </c>
      <c r="C11" s="39">
        <v>5.39</v>
      </c>
      <c r="D11" s="39">
        <v>4.9000000000000004</v>
      </c>
      <c r="E11" s="39">
        <v>4.38</v>
      </c>
      <c r="F11" s="39">
        <v>3.83</v>
      </c>
      <c r="G11" s="39">
        <v>3.23</v>
      </c>
      <c r="H11" s="39">
        <v>2.61</v>
      </c>
    </row>
    <row r="12" spans="2:8" x14ac:dyDescent="0.55000000000000004">
      <c r="B12" s="8" t="s">
        <v>178</v>
      </c>
      <c r="C12" s="10">
        <v>1805.9</v>
      </c>
      <c r="D12" s="10">
        <v>1770.4</v>
      </c>
      <c r="E12" s="10">
        <v>1713.1</v>
      </c>
      <c r="F12" s="10">
        <v>1629.8</v>
      </c>
      <c r="G12" s="10">
        <v>1515.9</v>
      </c>
      <c r="H12" s="10">
        <v>1356.2</v>
      </c>
    </row>
    <row r="13" spans="2:8" x14ac:dyDescent="0.55000000000000004">
      <c r="B13" s="6" t="s">
        <v>182</v>
      </c>
      <c r="C13" s="11">
        <v>2.15</v>
      </c>
      <c r="D13" s="11">
        <v>2.36</v>
      </c>
      <c r="E13" s="11">
        <v>2.62</v>
      </c>
      <c r="F13" s="11">
        <v>2.98</v>
      </c>
      <c r="G13" s="11">
        <v>3.47</v>
      </c>
      <c r="H13" s="11">
        <v>4.21</v>
      </c>
    </row>
    <row r="14" spans="2:8" x14ac:dyDescent="0.55000000000000004">
      <c r="B14" s="8" t="s">
        <v>228</v>
      </c>
      <c r="C14" s="40">
        <v>1.86</v>
      </c>
      <c r="D14" s="40">
        <v>2.0299999999999998</v>
      </c>
      <c r="E14" s="40">
        <v>2.2599999999999998</v>
      </c>
      <c r="F14" s="40">
        <v>2.54</v>
      </c>
      <c r="G14" s="40">
        <v>2.93</v>
      </c>
      <c r="H14" s="40">
        <v>3.49</v>
      </c>
    </row>
    <row r="15" spans="2:8" x14ac:dyDescent="0.55000000000000004">
      <c r="B15" s="6" t="s">
        <v>229</v>
      </c>
      <c r="C15" s="11">
        <v>1</v>
      </c>
      <c r="D15" s="11">
        <v>1.1499999999999999</v>
      </c>
      <c r="E15" s="11">
        <v>1.35</v>
      </c>
      <c r="F15" s="11">
        <v>1.62</v>
      </c>
      <c r="G15" s="11">
        <v>2</v>
      </c>
      <c r="H15" s="11">
        <v>2.57</v>
      </c>
    </row>
    <row r="16" spans="2:8" x14ac:dyDescent="0.55000000000000004">
      <c r="B16" s="8" t="s">
        <v>230</v>
      </c>
      <c r="C16" s="10">
        <v>1807.3</v>
      </c>
      <c r="D16" s="10">
        <v>2030.8</v>
      </c>
      <c r="E16" s="10">
        <v>2315.1</v>
      </c>
      <c r="F16" s="10">
        <v>2646.6</v>
      </c>
      <c r="G16" s="10">
        <v>3031.9</v>
      </c>
      <c r="H16" s="10">
        <v>3486.8</v>
      </c>
    </row>
    <row r="17" spans="2:8" x14ac:dyDescent="0.55000000000000004">
      <c r="B17" s="1" t="s">
        <v>231</v>
      </c>
      <c r="C17" s="35">
        <v>185.9</v>
      </c>
      <c r="D17" s="35">
        <v>393.7</v>
      </c>
      <c r="E17" s="35">
        <v>659.9</v>
      </c>
      <c r="F17" s="35">
        <v>970.8</v>
      </c>
      <c r="G17" s="35">
        <v>1333.4</v>
      </c>
      <c r="H17" s="35">
        <v>1763.5</v>
      </c>
    </row>
    <row r="18" spans="2:8" x14ac:dyDescent="0.55000000000000004">
      <c r="B18" s="8" t="s">
        <v>232</v>
      </c>
      <c r="C18" s="14">
        <v>4.7966766436164723E-2</v>
      </c>
      <c r="D18" s="14">
        <v>9.4426056506931463E-2</v>
      </c>
      <c r="E18" s="14">
        <v>0.1467977665561809</v>
      </c>
      <c r="F18" s="14">
        <v>0.1998600074113723</v>
      </c>
      <c r="G18" s="14">
        <v>0.25347882290320128</v>
      </c>
      <c r="H18" s="14">
        <v>0.30885495113664219</v>
      </c>
    </row>
    <row r="19" spans="2:8" x14ac:dyDescent="0.55000000000000004">
      <c r="B19" s="6" t="s">
        <v>233</v>
      </c>
      <c r="C19" s="19">
        <v>4.0999317268060789E-2</v>
      </c>
      <c r="D19" s="19">
        <v>3.9500352272398252E-2</v>
      </c>
      <c r="E19" s="19">
        <v>3.799912302652271E-2</v>
      </c>
      <c r="F19" s="19">
        <v>3.6500976887942127E-2</v>
      </c>
      <c r="G19" s="19">
        <v>3.5000340009190563E-2</v>
      </c>
      <c r="H19" s="19">
        <v>3.3499417764878102E-2</v>
      </c>
    </row>
    <row r="20" spans="2:8" x14ac:dyDescent="0.55000000000000004">
      <c r="B20" s="8" t="s">
        <v>234</v>
      </c>
      <c r="C20" s="41" t="s">
        <v>235</v>
      </c>
      <c r="D20" s="41" t="s">
        <v>235</v>
      </c>
      <c r="E20" s="41" t="s">
        <v>236</v>
      </c>
      <c r="F20" s="41" t="s">
        <v>236</v>
      </c>
      <c r="G20" s="41" t="s">
        <v>237</v>
      </c>
      <c r="H20" s="41" t="s">
        <v>238</v>
      </c>
    </row>
    <row r="22" spans="2:8" x14ac:dyDescent="0.55000000000000004">
      <c r="B22" s="52" t="s">
        <v>239</v>
      </c>
      <c r="C22" s="53"/>
      <c r="D22" s="53"/>
      <c r="E22" s="53"/>
      <c r="F22" s="53"/>
      <c r="G22" s="54"/>
    </row>
    <row r="23" spans="2:8" x14ac:dyDescent="0.55000000000000004">
      <c r="B23" s="21" t="s">
        <v>240</v>
      </c>
      <c r="C23" s="22" t="s">
        <v>69</v>
      </c>
      <c r="D23" s="22" t="s">
        <v>70</v>
      </c>
      <c r="E23" s="22" t="s">
        <v>71</v>
      </c>
      <c r="F23" s="22" t="s">
        <v>72</v>
      </c>
      <c r="G23" s="22" t="s">
        <v>73</v>
      </c>
      <c r="H23" s="22" t="s">
        <v>74</v>
      </c>
    </row>
    <row r="24" spans="2:8" x14ac:dyDescent="0.55000000000000004">
      <c r="B24" s="6" t="s">
        <v>241</v>
      </c>
      <c r="C24" s="11">
        <v>5.47</v>
      </c>
      <c r="D24" s="11">
        <v>4.95</v>
      </c>
      <c r="E24" s="11">
        <v>4.4000000000000004</v>
      </c>
      <c r="F24" s="11">
        <v>3.83</v>
      </c>
      <c r="G24" s="11">
        <v>3.23</v>
      </c>
      <c r="H24" s="11">
        <v>2.61</v>
      </c>
    </row>
    <row r="25" spans="2:8" x14ac:dyDescent="0.55000000000000004">
      <c r="B25" s="8" t="s">
        <v>242</v>
      </c>
      <c r="C25" s="40">
        <v>6.5</v>
      </c>
      <c r="D25" s="40">
        <v>6</v>
      </c>
      <c r="E25" s="40">
        <v>5.5</v>
      </c>
      <c r="F25" s="40">
        <v>5</v>
      </c>
      <c r="G25" s="40">
        <v>4.5</v>
      </c>
      <c r="H25" s="40">
        <v>4</v>
      </c>
    </row>
    <row r="26" spans="2:8" x14ac:dyDescent="0.55000000000000004">
      <c r="B26" s="6" t="s">
        <v>243</v>
      </c>
      <c r="C26" s="11">
        <v>1.03</v>
      </c>
      <c r="D26" s="11">
        <v>1.05</v>
      </c>
      <c r="E26" s="11">
        <v>1.1000000000000001</v>
      </c>
      <c r="F26" s="11">
        <v>1.17</v>
      </c>
      <c r="G26" s="11">
        <v>1.27</v>
      </c>
      <c r="H26" s="11">
        <v>1.39</v>
      </c>
    </row>
    <row r="27" spans="2:8" x14ac:dyDescent="0.55000000000000004">
      <c r="B27" s="4" t="s">
        <v>244</v>
      </c>
      <c r="C27" s="45" t="s">
        <v>245</v>
      </c>
      <c r="D27" s="45" t="s">
        <v>245</v>
      </c>
      <c r="E27" s="45" t="s">
        <v>245</v>
      </c>
      <c r="F27" s="45" t="s">
        <v>245</v>
      </c>
      <c r="G27" s="45" t="s">
        <v>245</v>
      </c>
      <c r="H27" s="45" t="s">
        <v>245</v>
      </c>
    </row>
    <row r="28" spans="2:8" x14ac:dyDescent="0.55000000000000004">
      <c r="B28" s="6" t="s">
        <v>246</v>
      </c>
      <c r="C28" s="11">
        <v>2.15</v>
      </c>
      <c r="D28" s="11">
        <v>2.36</v>
      </c>
      <c r="E28" s="11">
        <v>2.62</v>
      </c>
      <c r="F28" s="11">
        <v>2.98</v>
      </c>
      <c r="G28" s="11">
        <v>3.47</v>
      </c>
      <c r="H28" s="11">
        <v>4.21</v>
      </c>
    </row>
    <row r="29" spans="2:8" x14ac:dyDescent="0.55000000000000004">
      <c r="B29" s="8" t="s">
        <v>247</v>
      </c>
      <c r="C29" s="40">
        <v>2</v>
      </c>
      <c r="D29" s="40">
        <v>2</v>
      </c>
      <c r="E29" s="40">
        <v>2.25</v>
      </c>
      <c r="F29" s="40">
        <v>2.25</v>
      </c>
      <c r="G29" s="40">
        <v>2.5</v>
      </c>
      <c r="H29" s="40">
        <v>2.5</v>
      </c>
    </row>
    <row r="30" spans="2:8" x14ac:dyDescent="0.55000000000000004">
      <c r="B30" s="6" t="s">
        <v>248</v>
      </c>
      <c r="C30" s="11">
        <v>0.15</v>
      </c>
      <c r="D30" s="11">
        <v>0.36</v>
      </c>
      <c r="E30" s="11">
        <v>0.37</v>
      </c>
      <c r="F30" s="11">
        <v>0.73</v>
      </c>
      <c r="G30" s="11">
        <v>0.97</v>
      </c>
      <c r="H30" s="11">
        <v>1.71</v>
      </c>
    </row>
    <row r="31" spans="2:8" x14ac:dyDescent="0.55000000000000004">
      <c r="B31" s="4" t="s">
        <v>249</v>
      </c>
      <c r="C31" s="45" t="s">
        <v>245</v>
      </c>
      <c r="D31" s="45" t="s">
        <v>245</v>
      </c>
      <c r="E31" s="45" t="s">
        <v>245</v>
      </c>
      <c r="F31" s="45" t="s">
        <v>245</v>
      </c>
      <c r="G31" s="45" t="s">
        <v>245</v>
      </c>
      <c r="H31" s="45" t="s">
        <v>245</v>
      </c>
    </row>
  </sheetData>
  <mergeCells count="3">
    <mergeCell ref="B1:H1"/>
    <mergeCell ref="B22:G22"/>
    <mergeCell ref="B3:G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16"/>
  <sheetViews>
    <sheetView showGridLines="0" workbookViewId="0"/>
  </sheetViews>
  <sheetFormatPr defaultRowHeight="14.4" x14ac:dyDescent="0.55000000000000004"/>
  <cols>
    <col min="1" max="1" width="3" customWidth="1"/>
    <col min="2" max="2" width="34" customWidth="1"/>
    <col min="3" max="5" width="20" customWidth="1"/>
  </cols>
  <sheetData>
    <row r="1" spans="2:13" ht="22" customHeight="1" x14ac:dyDescent="0.55000000000000004">
      <c r="B1" s="61" t="s">
        <v>250</v>
      </c>
      <c r="C1" s="56"/>
      <c r="D1" s="56"/>
      <c r="E1" s="56"/>
    </row>
    <row r="3" spans="2:13" x14ac:dyDescent="0.55000000000000004">
      <c r="B3" s="52" t="s">
        <v>251</v>
      </c>
      <c r="C3" s="53"/>
      <c r="D3" s="53"/>
      <c r="E3" s="54"/>
    </row>
    <row r="4" spans="2:13" x14ac:dyDescent="0.55000000000000004">
      <c r="B4" s="21" t="s">
        <v>172</v>
      </c>
      <c r="C4" s="46" t="s">
        <v>252</v>
      </c>
      <c r="D4" s="47" t="s">
        <v>253</v>
      </c>
      <c r="E4" s="48" t="s">
        <v>254</v>
      </c>
    </row>
    <row r="5" spans="2:13" x14ac:dyDescent="0.55000000000000004">
      <c r="B5" s="1" t="s">
        <v>3</v>
      </c>
      <c r="C5" s="49" t="s">
        <v>255</v>
      </c>
      <c r="D5" s="49" t="s">
        <v>4</v>
      </c>
      <c r="E5" s="49" t="s">
        <v>256</v>
      </c>
    </row>
    <row r="6" spans="2:13" x14ac:dyDescent="0.55000000000000004">
      <c r="B6" s="4" t="s">
        <v>5</v>
      </c>
      <c r="C6" s="50" t="s">
        <v>257</v>
      </c>
      <c r="D6" s="50" t="s">
        <v>6</v>
      </c>
      <c r="E6" s="50" t="s">
        <v>258</v>
      </c>
    </row>
    <row r="7" spans="2:13" x14ac:dyDescent="0.55000000000000004">
      <c r="B7" s="6" t="s">
        <v>7</v>
      </c>
      <c r="C7" s="51" t="s">
        <v>8</v>
      </c>
      <c r="D7" s="51" t="s">
        <v>8</v>
      </c>
      <c r="E7" s="51" t="s">
        <v>8</v>
      </c>
    </row>
    <row r="8" spans="2:13" x14ac:dyDescent="0.55000000000000004">
      <c r="B8" s="8" t="s">
        <v>11</v>
      </c>
      <c r="C8" s="41" t="s">
        <v>259</v>
      </c>
      <c r="D8" s="41" t="s">
        <v>12</v>
      </c>
      <c r="E8" s="41" t="s">
        <v>260</v>
      </c>
    </row>
    <row r="9" spans="2:13" x14ac:dyDescent="0.55000000000000004">
      <c r="B9" s="6" t="s">
        <v>13</v>
      </c>
      <c r="C9" s="51" t="s">
        <v>261</v>
      </c>
      <c r="D9" s="51" t="s">
        <v>14</v>
      </c>
      <c r="E9" s="51" t="s">
        <v>262</v>
      </c>
    </row>
    <row r="10" spans="2:13" x14ac:dyDescent="0.55000000000000004">
      <c r="B10" s="8" t="s">
        <v>9</v>
      </c>
      <c r="C10" s="41" t="s">
        <v>10</v>
      </c>
      <c r="D10" s="41" t="s">
        <v>10</v>
      </c>
      <c r="E10" s="41" t="s">
        <v>10</v>
      </c>
    </row>
    <row r="12" spans="2:13" x14ac:dyDescent="0.55000000000000004">
      <c r="B12" s="52" t="s">
        <v>263</v>
      </c>
      <c r="C12" s="53"/>
      <c r="D12" s="53"/>
      <c r="E12" s="54"/>
    </row>
    <row r="13" spans="2:13" x14ac:dyDescent="0.55000000000000004">
      <c r="B13" s="21" t="s">
        <v>172</v>
      </c>
      <c r="C13" s="46" t="s">
        <v>252</v>
      </c>
      <c r="D13" s="47" t="s">
        <v>253</v>
      </c>
      <c r="E13" s="48" t="s">
        <v>254</v>
      </c>
    </row>
    <row r="14" spans="2:13" x14ac:dyDescent="0.55000000000000004">
      <c r="B14" s="6" t="s">
        <v>252</v>
      </c>
      <c r="C14" s="51" t="s">
        <v>264</v>
      </c>
      <c r="D14" s="51" t="s">
        <v>265</v>
      </c>
      <c r="E14" s="51" t="s">
        <v>266</v>
      </c>
      <c r="F14" s="51" t="s">
        <v>8</v>
      </c>
      <c r="G14" s="51" t="s">
        <v>22</v>
      </c>
      <c r="H14" s="51" t="s">
        <v>259</v>
      </c>
      <c r="I14" s="51" t="s">
        <v>267</v>
      </c>
      <c r="J14" s="51" t="s">
        <v>261</v>
      </c>
      <c r="K14" s="51" t="s">
        <v>255</v>
      </c>
      <c r="L14" s="51" t="s">
        <v>257</v>
      </c>
      <c r="M14" s="51" t="s">
        <v>268</v>
      </c>
    </row>
    <row r="15" spans="2:13" x14ac:dyDescent="0.55000000000000004">
      <c r="B15" s="8" t="s">
        <v>253</v>
      </c>
      <c r="C15" s="41" t="s">
        <v>269</v>
      </c>
      <c r="D15" s="41" t="s">
        <v>270</v>
      </c>
      <c r="E15" s="41" t="s">
        <v>20</v>
      </c>
      <c r="F15" s="41" t="s">
        <v>8</v>
      </c>
      <c r="G15" s="41" t="s">
        <v>22</v>
      </c>
      <c r="H15" s="41" t="s">
        <v>12</v>
      </c>
      <c r="I15" s="41" t="s">
        <v>271</v>
      </c>
      <c r="J15" s="41" t="s">
        <v>14</v>
      </c>
      <c r="K15" s="41" t="s">
        <v>4</v>
      </c>
      <c r="L15" s="41" t="s">
        <v>6</v>
      </c>
      <c r="M15" s="41" t="s">
        <v>272</v>
      </c>
    </row>
    <row r="16" spans="2:13" x14ac:dyDescent="0.55000000000000004">
      <c r="B16" s="6" t="s">
        <v>254</v>
      </c>
      <c r="C16" s="51" t="s">
        <v>273</v>
      </c>
      <c r="D16" s="51" t="s">
        <v>274</v>
      </c>
      <c r="E16" s="51" t="s">
        <v>275</v>
      </c>
      <c r="F16" s="51" t="s">
        <v>8</v>
      </c>
      <c r="G16" s="51" t="s">
        <v>22</v>
      </c>
      <c r="H16" s="51" t="s">
        <v>260</v>
      </c>
      <c r="I16" s="51" t="s">
        <v>276</v>
      </c>
      <c r="J16" s="51" t="s">
        <v>262</v>
      </c>
      <c r="K16" s="51" t="s">
        <v>256</v>
      </c>
      <c r="L16" s="51" t="s">
        <v>258</v>
      </c>
      <c r="M16" s="51" t="s">
        <v>277</v>
      </c>
    </row>
  </sheetData>
  <mergeCells count="3">
    <mergeCell ref="B12:E12"/>
    <mergeCell ref="B1:E1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Sources &amp; Uses</vt:lpstr>
      <vt:lpstr>Income Statement</vt:lpstr>
      <vt:lpstr>Cash Flow Statement</vt:lpstr>
      <vt:lpstr>Balance Sheet</vt:lpstr>
      <vt:lpstr>Debt Schedule</vt:lpstr>
      <vt:lpstr>Returns &amp; Value Bridge</vt:lpstr>
      <vt:lpstr>Credit Metrics</vt:lpstr>
      <vt:lpstr>Scenario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 Novak</cp:lastModifiedBy>
  <dcterms:created xsi:type="dcterms:W3CDTF">2026-02-26T18:18:56Z</dcterms:created>
  <dcterms:modified xsi:type="dcterms:W3CDTF">2026-02-26T18:19:36Z</dcterms:modified>
</cp:coreProperties>
</file>