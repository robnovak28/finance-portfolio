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Debt Schedule" sheetId="7" state="visible" r:id="rId7"/>
    <sheet xmlns:r="http://schemas.openxmlformats.org/officeDocument/2006/relationships" name="Returns &amp; Value Bridge" sheetId="8" state="visible" r:id="rId8"/>
    <sheet xmlns:r="http://schemas.openxmlformats.org/officeDocument/2006/relationships" name="Credit Metrics" sheetId="9" state="visible" r:id="rId9"/>
    <sheet xmlns:r="http://schemas.openxmlformats.org/officeDocument/2006/relationships" name="Scenario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&quot;x&quot;"/>
    <numFmt numFmtId="166" formatCode="0.00&quot;x&quot;"/>
    <numFmt numFmtId="167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CCCCCC"/>
      <sz val="10"/>
    </font>
    <font>
      <name val="Calibri"/>
      <b val="1"/>
      <color rgb="00FFFFFF"/>
      <sz val="11"/>
    </font>
    <font>
      <name val="Calibri"/>
      <b val="1"/>
      <color rgb="001A1A2E"/>
      <sz val="10"/>
    </font>
    <font>
      <name val="Calibri"/>
      <color rgb="001A1A2E"/>
      <sz val="10"/>
    </font>
    <font>
      <name val="Calibri"/>
      <i val="1"/>
      <color rgb="00888888"/>
      <sz val="8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i val="1"/>
      <color rgb="00555555"/>
      <sz val="9"/>
    </font>
    <font>
      <name val="Calibri"/>
      <i val="1"/>
      <color rgb="00777777"/>
      <sz val="8"/>
    </font>
    <font>
      <name val="Calibri"/>
      <color rgb="008B0000"/>
      <sz val="10"/>
    </font>
    <font>
      <name val="Calibri"/>
      <b val="1"/>
      <color rgb="001A6B3C"/>
      <sz val="10"/>
    </font>
  </fonts>
  <fills count="13">
    <fill>
      <patternFill/>
    </fill>
    <fill>
      <patternFill patternType="gray125"/>
    </fill>
    <fill>
      <patternFill patternType="solid">
        <fgColor rgb="001F2D40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EEF2F7"/>
      </patternFill>
    </fill>
    <fill>
      <patternFill patternType="solid">
        <fgColor rgb="00E8EDF3"/>
      </patternFill>
    </fill>
    <fill>
      <patternFill patternType="solid">
        <fgColor rgb="001A4A7A"/>
      </patternFill>
    </fill>
    <fill>
      <patternFill patternType="solid">
        <fgColor rgb="00EBF3FF"/>
      </patternFill>
    </fill>
    <fill>
      <patternFill patternType="solid">
        <fgColor rgb="00F7F9FC"/>
      </patternFill>
    </fill>
    <fill>
      <patternFill patternType="solid">
        <fgColor rgb="00FFF0F0"/>
      </patternFill>
    </fill>
    <fill>
      <patternFill patternType="solid">
        <fgColor rgb="008B1A1A"/>
      </patternFill>
    </fill>
    <fill>
      <patternFill patternType="solid">
        <fgColor rgb="001A6B3C"/>
      </patternFill>
    </fill>
  </fills>
  <borders count="6">
    <border>
      <left/>
      <right/>
      <top/>
      <bottom/>
      <diagonal/>
    </border>
    <border>
      <left style="thin">
        <color rgb="00B0BAC8"/>
      </left>
      <right style="thin">
        <color rgb="00B0BAC8"/>
      </right>
      <top style="thin">
        <color rgb="00B0BAC8"/>
      </top>
      <bottom style="thin">
        <color rgb="00B0BAC8"/>
      </bottom>
    </border>
    <border>
      <left/>
      <right/>
      <top style="thin">
        <color rgb="00B0BAC8"/>
      </top>
      <bottom/>
      <diagonal/>
    </border>
    <border>
      <left/>
      <right style="thin">
        <color rgb="00B0BAC8"/>
      </right>
      <top style="thin">
        <color rgb="00B0BAC8"/>
      </top>
      <bottom/>
      <diagonal/>
    </border>
    <border>
      <left/>
      <right/>
      <top style="thin">
        <color rgb="00B0BAC8"/>
      </top>
      <bottom style="thin">
        <color rgb="00B0BAC8"/>
      </bottom>
      <diagonal/>
    </border>
    <border>
      <left/>
      <right style="thin">
        <color rgb="00B0BAC8"/>
      </right>
      <top style="thin">
        <color rgb="00B0BAC8"/>
      </top>
      <bottom style="thin">
        <color rgb="00B0BAC8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0" fillId="4" borderId="0" pivotButton="0" quotePrefix="0" xfId="0"/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0" fillId="5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9" fontId="5" fillId="4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right" vertical="center"/>
    </xf>
    <xf numFmtId="1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right" vertical="center"/>
    </xf>
    <xf numFmtId="0" fontId="0" fillId="8" borderId="0" pivotButton="0" quotePrefix="0" xfId="0"/>
    <xf numFmtId="167" fontId="4" fillId="8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5" fillId="8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0" fillId="9" borderId="0" pivotButton="0" quotePrefix="0" xfId="0"/>
    <xf numFmtId="0" fontId="8" fillId="3" borderId="1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10" fillId="0" borderId="0" pivotButton="0" quotePrefix="0" xfId="0"/>
    <xf numFmtId="0" fontId="11" fillId="10" borderId="1" applyAlignment="1" pivotButton="0" quotePrefix="0" xfId="0">
      <alignment horizontal="left" vertical="center"/>
    </xf>
    <xf numFmtId="164" fontId="11" fillId="10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49" fontId="5" fillId="5" borderId="1" applyAlignment="1" pivotButton="0" quotePrefix="0" xfId="0">
      <alignment horizontal="right" vertical="center"/>
    </xf>
    <xf numFmtId="167" fontId="12" fillId="4" borderId="1" applyAlignment="1" pivotButton="0" quotePrefix="0" xfId="0">
      <alignment horizontal="right" vertical="center"/>
    </xf>
    <xf numFmtId="166" fontId="12" fillId="5" borderId="1" applyAlignment="1" pivotButton="0" quotePrefix="0" xfId="0">
      <alignment horizontal="right" vertical="center"/>
    </xf>
    <xf numFmtId="0" fontId="0" fillId="6" borderId="0" pivotButton="0" quotePrefix="0" xfId="0"/>
    <xf numFmtId="166" fontId="4" fillId="5" borderId="1" applyAlignment="1" pivotButton="0" quotePrefix="0" xfId="0">
      <alignment horizontal="right" vertical="center"/>
    </xf>
    <xf numFmtId="49" fontId="12" fillId="5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49" fontId="4" fillId="4" borderId="1" applyAlignment="1" pivotButton="0" quotePrefix="0" xfId="0">
      <alignment horizontal="right" vertical="center"/>
    </xf>
    <xf numFmtId="49" fontId="4" fillId="5" borderId="1" applyAlignment="1" pivotButton="0" quotePrefix="0" xfId="0">
      <alignment horizontal="right" vertical="center"/>
    </xf>
    <xf numFmtId="49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 ht="30" customHeight="1">
      <c r="B2" s="1" t="inlineStr">
        <is>
          <t>LEVERAGED BUYOUT ANALYSIS
Dollar General Corporation (NYSE: DG)</t>
        </is>
      </c>
    </row>
    <row r="3" ht="30" customHeight="1"/>
    <row r="4" ht="20" customHeight="1"/>
    <row r="5" ht="16" customHeight="1">
      <c r="B5" s="2" t="inlineStr">
        <is>
          <t>Discount Retail  |  ~20,000 Stores  |  Prepared: February 26, 2026</t>
        </is>
      </c>
    </row>
    <row r="7">
      <c r="B7" s="3" t="inlineStr">
        <is>
          <t>KEY RETURNS SUMMARY</t>
        </is>
      </c>
      <c r="C7" s="4" t="n"/>
      <c r="D7" s="4" t="n"/>
      <c r="E7" s="4" t="n"/>
      <c r="F7" s="5" t="n"/>
    </row>
    <row r="8">
      <c r="B8" s="6" t="inlineStr">
        <is>
          <t>IRR</t>
        </is>
      </c>
      <c r="C8" s="7" t="inlineStr">
        <is>
          <t>20.1%</t>
        </is>
      </c>
      <c r="D8" s="8" t="n"/>
    </row>
    <row r="9">
      <c r="B9" s="9" t="inlineStr">
        <is>
          <t>MOIC</t>
        </is>
      </c>
      <c r="C9" s="10" t="inlineStr">
        <is>
          <t>2.49x</t>
        </is>
      </c>
      <c r="D9" s="11" t="n"/>
    </row>
    <row r="10">
      <c r="B10" s="6" t="inlineStr">
        <is>
          <t>Entry EV ($M)</t>
        </is>
      </c>
      <c r="C10" s="7" t="inlineStr">
        <is>
          <t>$37,107</t>
        </is>
      </c>
      <c r="D10" s="8" t="n"/>
    </row>
    <row r="11">
      <c r="B11" s="9" t="inlineStr">
        <is>
          <t>Equity Invested ($M)</t>
        </is>
      </c>
      <c r="C11" s="10" t="inlineStr">
        <is>
          <t>$17,244</t>
        </is>
      </c>
      <c r="D11" s="11" t="n"/>
    </row>
    <row r="12">
      <c r="B12" s="6" t="inlineStr">
        <is>
          <t>Exit EV ($M)</t>
        </is>
      </c>
      <c r="C12" s="7" t="inlineStr">
        <is>
          <t>$58,629</t>
        </is>
      </c>
      <c r="D12" s="8" t="n"/>
    </row>
    <row r="13">
      <c r="B13" s="9" t="inlineStr">
        <is>
          <t>Exit Equity ($M)</t>
        </is>
      </c>
      <c r="C13" s="10" t="inlineStr">
        <is>
          <t>$42,997</t>
        </is>
      </c>
      <c r="D13" s="11" t="n"/>
    </row>
    <row r="14">
      <c r="B14" s="6" t="inlineStr">
        <is>
          <t>Hold Period</t>
        </is>
      </c>
      <c r="C14" s="7" t="inlineStr">
        <is>
          <t>5 years</t>
        </is>
      </c>
      <c r="D14" s="8" t="n"/>
    </row>
    <row r="15">
      <c r="B15" s="9" t="inlineStr">
        <is>
          <t>Entry EV/EBITDA</t>
        </is>
      </c>
      <c r="C15" s="10" t="inlineStr">
        <is>
          <t>10.5x</t>
        </is>
      </c>
      <c r="D15" s="11" t="n"/>
    </row>
    <row r="16">
      <c r="B16" s="6" t="inlineStr">
        <is>
          <t>Exit EV/EBITDA</t>
        </is>
      </c>
      <c r="C16" s="7" t="inlineStr">
        <is>
          <t>10.5x</t>
        </is>
      </c>
      <c r="D16" s="8" t="n"/>
    </row>
    <row r="17">
      <c r="B17" s="9" t="inlineStr">
        <is>
          <t>Entry Leverage</t>
        </is>
      </c>
      <c r="C17" s="10" t="inlineStr">
        <is>
          <t>5.9x</t>
        </is>
      </c>
      <c r="D17" s="11" t="n"/>
    </row>
    <row r="19">
      <c r="B19" s="3" t="inlineStr">
        <is>
          <t>TRANSACTION OVERVIEW</t>
        </is>
      </c>
      <c r="C19" s="4" t="n"/>
      <c r="D19" s="4" t="n"/>
      <c r="E19" s="4" t="n"/>
      <c r="F19" s="5" t="n"/>
    </row>
    <row r="20">
      <c r="B20" s="6" t="inlineStr">
        <is>
          <t>Target</t>
        </is>
      </c>
      <c r="C20" s="7" t="inlineStr">
        <is>
          <t>Dollar General Corporation</t>
        </is>
      </c>
      <c r="D20" s="8" t="n"/>
    </row>
    <row r="21">
      <c r="B21" s="9" t="inlineStr">
        <is>
          <t>Sector</t>
        </is>
      </c>
      <c r="C21" s="10" t="inlineStr">
        <is>
          <t>Consumer Discretionary — Discount Retail</t>
        </is>
      </c>
      <c r="D21" s="11" t="n"/>
    </row>
    <row r="22">
      <c r="B22" s="6" t="inlineStr">
        <is>
          <t>LTM Revenue ($M)</t>
        </is>
      </c>
      <c r="C22" s="7" t="inlineStr">
        <is>
          <t>$37,844</t>
        </is>
      </c>
      <c r="D22" s="8" t="n"/>
    </row>
    <row r="23">
      <c r="B23" s="9" t="inlineStr">
        <is>
          <t>LTM EBITDA ($M)</t>
        </is>
      </c>
      <c r="C23" s="10" t="inlineStr">
        <is>
          <t>$3,534</t>
        </is>
      </c>
      <c r="D23" s="11" t="n"/>
    </row>
    <row r="24">
      <c r="B24" s="6" t="inlineStr">
        <is>
          <t>LTM EBITDA Margin</t>
        </is>
      </c>
      <c r="C24" s="7" t="inlineStr">
        <is>
          <t>9.3%</t>
        </is>
      </c>
      <c r="D24" s="8" t="n"/>
    </row>
    <row r="25">
      <c r="B25" s="9" t="inlineStr">
        <is>
          <t>Total New Debt ($M)</t>
        </is>
      </c>
      <c r="C25" s="10" t="inlineStr">
        <is>
          <t>$21,000</t>
        </is>
      </c>
      <c r="D25" s="11" t="n"/>
    </row>
    <row r="26">
      <c r="B26" s="6" t="inlineStr">
        <is>
          <t>Sponsor Equity ($M)</t>
        </is>
      </c>
      <c r="C26" s="7" t="inlineStr">
        <is>
          <t>$17,244</t>
        </is>
      </c>
      <c r="D26" s="8" t="n"/>
    </row>
    <row r="27">
      <c r="B27" s="9" t="inlineStr">
        <is>
          <t>Equity / Total Cap.</t>
        </is>
      </c>
      <c r="C27" s="10" t="inlineStr">
        <is>
          <t>45.1%</t>
        </is>
      </c>
      <c r="D27" s="11" t="n"/>
    </row>
    <row r="30" ht="28" customHeight="1">
      <c r="B30" s="12" t="inlineStr">
        <is>
          <t>CONFIDENTIAL — For Discussion Purposes Only. All values USD millions unless noted. ‡ Interest Expense is computed by an iterative debt engine and is a fixed input to the P&amp;L.</t>
        </is>
      </c>
    </row>
  </sheetData>
  <mergeCells count="23">
    <mergeCell ref="B7:F7"/>
    <mergeCell ref="D11:F11"/>
    <mergeCell ref="D13:F13"/>
    <mergeCell ref="D27:F27"/>
    <mergeCell ref="D17:F17"/>
    <mergeCell ref="D16:F16"/>
    <mergeCell ref="B2:F4"/>
    <mergeCell ref="D12:F12"/>
    <mergeCell ref="D9:F9"/>
    <mergeCell ref="D8:F8"/>
    <mergeCell ref="D25:F25"/>
    <mergeCell ref="D15:F15"/>
    <mergeCell ref="D24:F24"/>
    <mergeCell ref="D14:F14"/>
    <mergeCell ref="D23:F23"/>
    <mergeCell ref="B19:F19"/>
    <mergeCell ref="D26:F26"/>
    <mergeCell ref="D20:F20"/>
    <mergeCell ref="D10:F10"/>
    <mergeCell ref="B30:F30"/>
    <mergeCell ref="D22:F22"/>
    <mergeCell ref="B5:F5"/>
    <mergeCell ref="D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2" customHeight="1">
      <c r="B1" s="13" t="inlineStr">
        <is>
          <t>DEAL ASSUMPTIONS</t>
        </is>
      </c>
    </row>
    <row r="3">
      <c r="B3" s="3" t="inlineStr">
        <is>
          <t>1.  ENTRY / TRANSACTION</t>
        </is>
      </c>
      <c r="C3" s="4" t="n"/>
      <c r="D3" s="4" t="n"/>
      <c r="E3" s="5" t="n"/>
    </row>
    <row r="4">
      <c r="B4" s="14" t="inlineStr">
        <is>
          <t>LTM EBITDA ($M)</t>
        </is>
      </c>
      <c r="C4" s="15" t="n">
        <v>3534</v>
      </c>
      <c r="D4" s="8" t="n"/>
    </row>
    <row r="5">
      <c r="B5" s="16" t="inlineStr">
        <is>
          <t>Entry EV/EBITDA (x)</t>
        </is>
      </c>
      <c r="C5" s="17" t="n">
        <v>10.5</v>
      </c>
      <c r="D5" s="11" t="n"/>
    </row>
    <row r="6">
      <c r="B6" s="14" t="inlineStr">
        <is>
          <t>Entry EV ($M)</t>
        </is>
      </c>
      <c r="C6" s="15" t="n">
        <v>37107</v>
      </c>
      <c r="D6" s="8" t="n"/>
    </row>
    <row r="7">
      <c r="B7" s="16" t="inlineStr">
        <is>
          <t>Existing Net Debt ($M)</t>
        </is>
      </c>
      <c r="C7" s="18" t="n">
        <v>6512</v>
      </c>
      <c r="D7" s="11" t="n"/>
    </row>
    <row r="8">
      <c r="B8" s="14" t="inlineStr">
        <is>
          <t>Total New Debt ($M)</t>
        </is>
      </c>
      <c r="C8" s="15" t="n">
        <v>21000</v>
      </c>
      <c r="D8" s="8" t="n"/>
    </row>
    <row r="9">
      <c r="B9" s="16" t="inlineStr">
        <is>
          <t>Sponsor Equity ($M)</t>
        </is>
      </c>
      <c r="C9" s="18" t="n">
        <v>17243.5885</v>
      </c>
      <c r="D9" s="11" t="n"/>
    </row>
    <row r="10">
      <c r="B10" s="14" t="inlineStr">
        <is>
          <t>Entry Gross Leverage (x)</t>
        </is>
      </c>
      <c r="C10" s="19" t="n">
        <v>5.942275042444821</v>
      </c>
      <c r="D10" s="8" t="n"/>
    </row>
    <row r="11">
      <c r="B11" s="16" t="inlineStr">
        <is>
          <t>Hold Period (years)</t>
        </is>
      </c>
      <c r="C11" s="20" t="n">
        <v>5</v>
      </c>
      <c r="D11" s="11" t="n"/>
    </row>
    <row r="12">
      <c r="B12" s="14" t="inlineStr">
        <is>
          <t>Exit EV/EBITDA (x)</t>
        </is>
      </c>
      <c r="C12" s="21" t="n">
        <v>10.5</v>
      </c>
      <c r="D12" s="8" t="n"/>
    </row>
    <row r="13">
      <c r="B13" s="16" t="inlineStr">
        <is>
          <t>Tax Rate</t>
        </is>
      </c>
      <c r="C13" s="22" t="n">
        <v>0.228</v>
      </c>
      <c r="D13" s="11" t="n"/>
    </row>
    <row r="14">
      <c r="B14" s="14" t="inlineStr">
        <is>
          <t>Cash Sweep (%)</t>
        </is>
      </c>
      <c r="C14" s="23" t="n">
        <v>1</v>
      </c>
      <c r="D14" s="8" t="n"/>
    </row>
    <row r="15">
      <c r="B15" s="16" t="inlineStr">
        <is>
          <t>Min Cash Balance ($M)</t>
        </is>
      </c>
      <c r="C15" s="18" t="n">
        <v>300</v>
      </c>
      <c r="D15" s="11" t="n"/>
    </row>
    <row r="17">
      <c r="B17" s="3" t="inlineStr">
        <is>
          <t>2.  DEBT STRUCTURE</t>
        </is>
      </c>
      <c r="C17" s="4" t="n"/>
      <c r="D17" s="4" t="n"/>
      <c r="E17" s="4" t="n"/>
      <c r="F17" s="4" t="n"/>
      <c r="G17" s="4" t="n"/>
      <c r="H17" s="5" t="n"/>
    </row>
    <row r="18">
      <c r="B18" s="24" t="inlineStr">
        <is>
          <t>Tranche</t>
        </is>
      </c>
      <c r="C18" s="24" t="inlineStr">
        <is>
          <t>Principal ($M)</t>
        </is>
      </c>
      <c r="D18" s="24" t="inlineStr">
        <is>
          <t>Rate Type</t>
        </is>
      </c>
      <c r="E18" s="24" t="inlineStr">
        <is>
          <t>All-In Rate</t>
        </is>
      </c>
      <c r="F18" s="24" t="inlineStr">
        <is>
          <t>Term (yrs)</t>
        </is>
      </c>
      <c r="G18" s="24" t="inlineStr">
        <is>
          <t>Amort %</t>
        </is>
      </c>
      <c r="H18" s="24" t="inlineStr">
        <is>
          <t>OID %</t>
        </is>
      </c>
    </row>
    <row r="19">
      <c r="B19" s="14" t="inlineStr">
        <is>
          <t>Revolver</t>
        </is>
      </c>
      <c r="C19" s="15" t="n">
        <v>500</v>
      </c>
      <c r="D19" s="7" t="inlineStr">
        <is>
          <t>SOFR + 2%</t>
        </is>
      </c>
      <c r="E19" s="25" t="n">
        <v>0.078</v>
      </c>
      <c r="F19" s="26" t="n">
        <v>5</v>
      </c>
      <c r="G19" s="27" t="n">
        <v>0</v>
      </c>
      <c r="H19" s="25" t="n">
        <v>0.005</v>
      </c>
    </row>
    <row r="20">
      <c r="B20" s="16" t="inlineStr">
        <is>
          <t>Term Loan A</t>
        </is>
      </c>
      <c r="C20" s="18" t="n">
        <v>4000</v>
      </c>
      <c r="D20" s="10" t="inlineStr">
        <is>
          <t>SOFR + 3%</t>
        </is>
      </c>
      <c r="E20" s="28" t="n">
        <v>0.0805</v>
      </c>
      <c r="F20" s="20" t="n">
        <v>5</v>
      </c>
      <c r="G20" s="22" t="n">
        <v>0.05</v>
      </c>
      <c r="H20" s="28" t="n">
        <v>0.01</v>
      </c>
    </row>
    <row r="21">
      <c r="B21" s="14" t="inlineStr">
        <is>
          <t>Term Loan B</t>
        </is>
      </c>
      <c r="C21" s="15" t="n">
        <v>8000</v>
      </c>
      <c r="D21" s="7" t="inlineStr">
        <is>
          <t>SOFR + 4%</t>
        </is>
      </c>
      <c r="E21" s="25" t="n">
        <v>0.093</v>
      </c>
      <c r="F21" s="26" t="n">
        <v>7</v>
      </c>
      <c r="G21" s="27" t="n">
        <v>0.01</v>
      </c>
      <c r="H21" s="25" t="n">
        <v>0.02</v>
      </c>
    </row>
    <row r="22">
      <c r="B22" s="16" t="inlineStr">
        <is>
          <t>Senior Secured Notes</t>
        </is>
      </c>
      <c r="C22" s="18" t="n">
        <v>5000</v>
      </c>
      <c r="D22" s="10" t="inlineStr">
        <is>
          <t>Fixed</t>
        </is>
      </c>
      <c r="E22" s="28" t="n">
        <v>0.0725</v>
      </c>
      <c r="F22" s="20" t="n">
        <v>8</v>
      </c>
      <c r="G22" s="22" t="n">
        <v>0</v>
      </c>
      <c r="H22" s="28" t="n">
        <v>0.015</v>
      </c>
    </row>
    <row r="23">
      <c r="B23" s="14" t="inlineStr">
        <is>
          <t>High Yield Notes</t>
        </is>
      </c>
      <c r="C23" s="15" t="n">
        <v>3500</v>
      </c>
      <c r="D23" s="7" t="inlineStr">
        <is>
          <t>Fixed</t>
        </is>
      </c>
      <c r="E23" s="25" t="n">
        <v>0.09</v>
      </c>
      <c r="F23" s="26" t="n">
        <v>10</v>
      </c>
      <c r="G23" s="27" t="n">
        <v>0</v>
      </c>
      <c r="H23" s="25" t="n">
        <v>0.02</v>
      </c>
    </row>
    <row r="25">
      <c r="B25" s="3" t="inlineStr">
        <is>
          <t>3.  OPERATING PROJECTIONS (BY YEAR)</t>
        </is>
      </c>
      <c r="C25" s="4" t="n"/>
      <c r="D25" s="4" t="n"/>
      <c r="E25" s="4" t="n"/>
      <c r="F25" s="4" t="n"/>
      <c r="G25" s="4" t="n"/>
      <c r="H25" s="5" t="n"/>
    </row>
    <row r="26">
      <c r="B26" s="29" t="inlineStr">
        <is>
          <t>Driver</t>
        </is>
      </c>
      <c r="C26" s="30" t="inlineStr">
        <is>
          <t>Year 1</t>
        </is>
      </c>
      <c r="D26" s="30" t="inlineStr">
        <is>
          <t>Year 2</t>
        </is>
      </c>
      <c r="E26" s="30" t="inlineStr">
        <is>
          <t>Year 3</t>
        </is>
      </c>
      <c r="F26" s="30" t="inlineStr">
        <is>
          <t>Year 4</t>
        </is>
      </c>
      <c r="G26" s="30" t="inlineStr">
        <is>
          <t>Year 5</t>
        </is>
      </c>
    </row>
    <row r="27">
      <c r="B27" s="14" t="inlineStr">
        <is>
          <t>Revenue Growth (%)</t>
        </is>
      </c>
      <c r="C27" s="27" t="n">
        <v>0.04</v>
      </c>
      <c r="D27" s="27" t="n">
        <v>0.04375</v>
      </c>
      <c r="E27" s="27" t="n">
        <v>0.0475</v>
      </c>
      <c r="F27" s="27" t="n">
        <v>0.05125</v>
      </c>
      <c r="G27" s="27" t="n">
        <v>0.055</v>
      </c>
    </row>
    <row r="28">
      <c r="B28" s="16" t="inlineStr">
        <is>
          <t>EBITDA Margin (%)</t>
        </is>
      </c>
      <c r="C28" s="22" t="n">
        <v>0.098</v>
      </c>
      <c r="D28" s="22" t="n">
        <v>0.10275</v>
      </c>
      <c r="E28" s="22" t="n">
        <v>0.1075</v>
      </c>
      <c r="F28" s="22" t="n">
        <v>0.11225</v>
      </c>
      <c r="G28" s="22" t="n">
        <v>0.117</v>
      </c>
    </row>
    <row r="29">
      <c r="B29" s="14" t="inlineStr">
        <is>
          <t>D&amp;A (% Revenue)</t>
        </is>
      </c>
      <c r="C29" s="27" t="n">
        <v>0.0355</v>
      </c>
      <c r="D29" s="27" t="n">
        <v>0.0345</v>
      </c>
      <c r="E29" s="27" t="n">
        <v>0.0335</v>
      </c>
      <c r="F29" s="27" t="n">
        <v>0.03249999999999999</v>
      </c>
      <c r="G29" s="27" t="n">
        <v>0.0315</v>
      </c>
    </row>
    <row r="30">
      <c r="B30" s="16" t="inlineStr">
        <is>
          <t>CapEx (% Revenue)</t>
        </is>
      </c>
      <c r="C30" s="22" t="n">
        <v>0.041</v>
      </c>
      <c r="D30" s="22" t="n">
        <v>0.0395</v>
      </c>
      <c r="E30" s="22" t="n">
        <v>0.038</v>
      </c>
      <c r="F30" s="22" t="n">
        <v>0.0365</v>
      </c>
      <c r="G30" s="22" t="n">
        <v>0.035</v>
      </c>
    </row>
  </sheetData>
  <mergeCells count="16">
    <mergeCell ref="D11:F11"/>
    <mergeCell ref="D13:F13"/>
    <mergeCell ref="D14:F14"/>
    <mergeCell ref="D5:F5"/>
    <mergeCell ref="B17:H17"/>
    <mergeCell ref="D4:F4"/>
    <mergeCell ref="B1:G1"/>
    <mergeCell ref="D12:F12"/>
    <mergeCell ref="D9:F9"/>
    <mergeCell ref="B3:E3"/>
    <mergeCell ref="B25:H25"/>
    <mergeCell ref="D7:F7"/>
    <mergeCell ref="D8:F8"/>
    <mergeCell ref="D6:F6"/>
    <mergeCell ref="D15:F15"/>
    <mergeCell ref="D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8" customWidth="1" min="3" max="3"/>
    <col width="12" customWidth="1" min="4" max="4"/>
    <col width="4" customWidth="1" min="5" max="5"/>
    <col width="38" customWidth="1" min="6" max="6"/>
    <col width="18" customWidth="1" min="7" max="7"/>
    <col width="12" customWidth="1" min="8" max="8"/>
  </cols>
  <sheetData>
    <row r="1" ht="22" customHeight="1">
      <c r="B1" s="13" t="inlineStr">
        <is>
          <t>SOURCES &amp; USES OF FUNDS</t>
        </is>
      </c>
    </row>
    <row r="3">
      <c r="B3" s="24" t="inlineStr">
        <is>
          <t>SOURCES</t>
        </is>
      </c>
      <c r="C3" s="24" t="inlineStr">
        <is>
          <t>Amount ($M)</t>
        </is>
      </c>
      <c r="D3" s="24" t="inlineStr">
        <is>
          <t>% Total</t>
        </is>
      </c>
      <c r="F3" s="24" t="inlineStr">
        <is>
          <t>USES</t>
        </is>
      </c>
      <c r="G3" s="24" t="inlineStr">
        <is>
          <t>Amount ($M)</t>
        </is>
      </c>
      <c r="H3" s="24" t="inlineStr">
        <is>
          <t>% Total</t>
        </is>
      </c>
    </row>
    <row r="4">
      <c r="B4" s="14" t="inlineStr">
        <is>
          <t>Revolver (SOFR+250bps, 5yr)</t>
        </is>
      </c>
      <c r="C4" s="15" t="n">
        <v>500</v>
      </c>
      <c r="D4" s="7" t="inlineStr">
        <is>
          <t>1.3%</t>
        </is>
      </c>
      <c r="E4" s="8" t="n"/>
      <c r="F4" s="14" t="inlineStr">
        <is>
          <t>Purchase Equity (EV – Net Debt)</t>
        </is>
      </c>
      <c r="G4" s="15" t="n">
        <v>30595</v>
      </c>
      <c r="H4" s="7" t="inlineStr">
        <is>
          <t>80.0%</t>
        </is>
      </c>
    </row>
    <row r="5">
      <c r="B5" s="16" t="inlineStr">
        <is>
          <t>Term Loan A (SOFR+275bps, 5yr)</t>
        </is>
      </c>
      <c r="C5" s="18" t="n">
        <v>4000</v>
      </c>
      <c r="D5" s="10" t="inlineStr">
        <is>
          <t>10.5%</t>
        </is>
      </c>
      <c r="E5" s="8" t="n"/>
      <c r="F5" s="16" t="inlineStr">
        <is>
          <t>Repay Existing Gross Debt</t>
        </is>
      </c>
      <c r="G5" s="18" t="n">
        <v>6797</v>
      </c>
      <c r="H5" s="10" t="inlineStr">
        <is>
          <t>17.8%</t>
        </is>
      </c>
    </row>
    <row r="6">
      <c r="B6" s="14" t="inlineStr">
        <is>
          <t>Term Loan B (SOFR+400bps, 7yr)</t>
        </is>
      </c>
      <c r="C6" s="15" t="n">
        <v>8000</v>
      </c>
      <c r="D6" s="7" t="inlineStr">
        <is>
          <t>20.9%</t>
        </is>
      </c>
      <c r="E6" s="8" t="n"/>
      <c r="F6" s="14" t="inlineStr">
        <is>
          <t>M&amp;A Advisory &amp; Legal Fees</t>
        </is>
      </c>
      <c r="G6" s="15" t="n">
        <v>204.1</v>
      </c>
      <c r="H6" s="7" t="inlineStr">
        <is>
          <t>0.5%</t>
        </is>
      </c>
    </row>
    <row r="7">
      <c r="B7" s="16" t="inlineStr">
        <is>
          <t>Senior Secured Notes (7.25% fixed, 8yr)</t>
        </is>
      </c>
      <c r="C7" s="18" t="n">
        <v>5000</v>
      </c>
      <c r="D7" s="10" t="inlineStr">
        <is>
          <t>13.1%</t>
        </is>
      </c>
      <c r="E7" s="8" t="n"/>
      <c r="F7" s="16" t="inlineStr">
        <is>
          <t>Financing Fees / OID</t>
        </is>
      </c>
      <c r="G7" s="18" t="n">
        <v>347.5</v>
      </c>
      <c r="H7" s="10" t="inlineStr">
        <is>
          <t>0.9%</t>
        </is>
      </c>
    </row>
    <row r="8">
      <c r="B8" s="14" t="inlineStr">
        <is>
          <t>High Yield Notes (9.00% fixed, 10yr)</t>
        </is>
      </c>
      <c r="C8" s="15" t="n">
        <v>3500</v>
      </c>
      <c r="D8" s="7" t="inlineStr">
        <is>
          <t>9.2%</t>
        </is>
      </c>
      <c r="E8" s="8" t="n"/>
      <c r="F8" s="14" t="inlineStr">
        <is>
          <t>Cash to Balance Sheet</t>
        </is>
      </c>
      <c r="G8" s="15" t="n">
        <v>300</v>
      </c>
      <c r="H8" s="7" t="inlineStr">
        <is>
          <t>0.8%</t>
        </is>
      </c>
    </row>
    <row r="9">
      <c r="B9" s="16" t="inlineStr">
        <is>
          <t>Sponsor Equity</t>
        </is>
      </c>
      <c r="C9" s="18" t="n">
        <v>17243.5885</v>
      </c>
      <c r="D9" s="10" t="inlineStr">
        <is>
          <t>45.1%</t>
        </is>
      </c>
      <c r="E9" s="8" t="n"/>
      <c r="F9" s="29" t="inlineStr">
        <is>
          <t>Total Uses</t>
        </is>
      </c>
      <c r="G9" s="31">
        <f>SUM(G4:G8)</f>
        <v/>
      </c>
      <c r="H9" s="32" t="inlineStr">
        <is>
          <t>100.0%</t>
        </is>
      </c>
    </row>
    <row r="10">
      <c r="B10" s="29" t="inlineStr">
        <is>
          <t>Total Sources</t>
        </is>
      </c>
      <c r="C10" s="31">
        <f>SUM(C4:C9)</f>
        <v/>
      </c>
      <c r="D10" s="32" t="inlineStr">
        <is>
          <t>100.0%</t>
        </is>
      </c>
      <c r="E10" s="8" t="n"/>
      <c r="F10" s="8" t="n"/>
      <c r="G10" s="8" t="n"/>
      <c r="H10" s="8" t="n"/>
    </row>
    <row r="13">
      <c r="B13" s="33" t="inlineStr">
        <is>
          <t>Entry Leverage: 5.9x  |  Net Leverage: 5.9x  |  Equity / Total Cap: 45.1%</t>
        </is>
      </c>
    </row>
  </sheetData>
  <mergeCells count="2">
    <mergeCell ref="B1:H1"/>
    <mergeCell ref="B13:H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B1" s="13" t="inlineStr">
        <is>
          <t>PROJECTED INCOME STATEMENT  ($M)</t>
        </is>
      </c>
    </row>
    <row r="3">
      <c r="B3" s="29" t="inlineStr">
        <is>
          <t>Line Item</t>
        </is>
      </c>
      <c r="C3" s="30" t="inlineStr">
        <is>
          <t>Year 1</t>
        </is>
      </c>
      <c r="D3" s="30" t="inlineStr">
        <is>
          <t>Year 2</t>
        </is>
      </c>
      <c r="E3" s="30" t="inlineStr">
        <is>
          <t>Year 3</t>
        </is>
      </c>
      <c r="F3" s="30" t="inlineStr">
        <is>
          <t>Year 4</t>
        </is>
      </c>
      <c r="G3" s="30" t="inlineStr">
        <is>
          <t>Year 5</t>
        </is>
      </c>
    </row>
    <row r="4">
      <c r="B4" s="34" t="inlineStr">
        <is>
          <t>REVENUE &amp; MARGIN DRIVERS  ← editable inputs</t>
        </is>
      </c>
      <c r="C4" s="4" t="n"/>
      <c r="D4" s="4" t="n"/>
      <c r="E4" s="4" t="n"/>
      <c r="F4" s="5" t="n"/>
    </row>
    <row r="5">
      <c r="B5" s="35" t="inlineStr">
        <is>
          <t>Entry LTM Revenue ($M)</t>
        </is>
      </c>
      <c r="C5" s="36" t="n">
        <v>37844</v>
      </c>
      <c r="D5" s="37" t="n"/>
      <c r="E5" s="37" t="n"/>
      <c r="F5" s="37" t="n"/>
      <c r="G5" s="37" t="n"/>
    </row>
    <row r="6">
      <c r="B6" s="35" t="inlineStr">
        <is>
          <t>Revenue Growth (%)</t>
        </is>
      </c>
      <c r="C6" s="38" t="n">
        <v>0.04</v>
      </c>
      <c r="D6" s="38" t="n">
        <v>0.04375</v>
      </c>
      <c r="E6" s="38" t="n">
        <v>0.0475</v>
      </c>
      <c r="F6" s="38" t="n">
        <v>0.05125</v>
      </c>
      <c r="G6" s="38" t="n">
        <v>0.055</v>
      </c>
    </row>
    <row r="7">
      <c r="B7" s="16" t="inlineStr">
        <is>
          <t>EBITDA Margin (%)</t>
        </is>
      </c>
      <c r="C7" s="39" t="n">
        <v>0.098</v>
      </c>
      <c r="D7" s="39" t="n">
        <v>0.10275</v>
      </c>
      <c r="E7" s="39" t="n">
        <v>0.1075</v>
      </c>
      <c r="F7" s="39" t="n">
        <v>0.11225</v>
      </c>
      <c r="G7" s="39" t="n">
        <v>0.117</v>
      </c>
    </row>
    <row r="8">
      <c r="B8" s="35" t="inlineStr">
        <is>
          <t>D&amp;A (% Revenue)</t>
        </is>
      </c>
      <c r="C8" s="38" t="n">
        <v>0.0355</v>
      </c>
      <c r="D8" s="38" t="n">
        <v>0.0345</v>
      </c>
      <c r="E8" s="38" t="n">
        <v>0.0335</v>
      </c>
      <c r="F8" s="38" t="n">
        <v>0.03249999999999999</v>
      </c>
      <c r="G8" s="38" t="n">
        <v>0.0315</v>
      </c>
    </row>
    <row r="9">
      <c r="B9" s="16" t="inlineStr">
        <is>
          <t>Gross Margin (%)</t>
        </is>
      </c>
      <c r="C9" s="39" t="n">
        <v>0.304</v>
      </c>
      <c r="D9" s="39" t="n">
        <v>0.306</v>
      </c>
      <c r="E9" s="39" t="n">
        <v>0.308</v>
      </c>
      <c r="F9" s="39" t="n">
        <v>0.31</v>
      </c>
      <c r="G9" s="39" t="n">
        <v>0.312</v>
      </c>
    </row>
    <row r="10">
      <c r="B10" s="35" t="inlineStr">
        <is>
          <t>Tax Rate</t>
        </is>
      </c>
      <c r="C10" s="38" t="n">
        <v>0.228</v>
      </c>
      <c r="D10" s="40">
        <f>$C$10</f>
        <v/>
      </c>
      <c r="E10" s="40">
        <f>$C$10</f>
        <v/>
      </c>
      <c r="F10" s="40">
        <f>$C$10</f>
        <v/>
      </c>
      <c r="G10" s="40">
        <f>$C$10</f>
        <v/>
      </c>
    </row>
    <row r="11">
      <c r="B11" s="16" t="inlineStr">
        <is>
          <t>Annual Mgmt Fee ($M)</t>
        </is>
      </c>
      <c r="C11" s="41" t="n">
        <v>20</v>
      </c>
      <c r="D11" s="41" t="n">
        <v>20</v>
      </c>
      <c r="E11" s="41" t="n">
        <v>20</v>
      </c>
      <c r="F11" s="41" t="n">
        <v>20</v>
      </c>
      <c r="G11" s="41" t="n">
        <v>20</v>
      </c>
    </row>
    <row r="12">
      <c r="B12" s="42" t="n"/>
      <c r="C12" s="42" t="n"/>
      <c r="D12" s="42" t="n"/>
      <c r="E12" s="42" t="n"/>
      <c r="F12" s="42" t="n"/>
      <c r="G12" s="42" t="n"/>
    </row>
    <row r="13">
      <c r="B13" s="3" t="inlineStr">
        <is>
          <t>PROJECTED P&amp;L  (formulas reference driver block above)</t>
        </is>
      </c>
      <c r="C13" s="4" t="n"/>
      <c r="D13" s="4" t="n"/>
      <c r="E13" s="4" t="n"/>
      <c r="F13" s="5" t="n"/>
    </row>
    <row r="14">
      <c r="B14" s="43" t="inlineStr">
        <is>
          <t>Revenue</t>
        </is>
      </c>
      <c r="C14" s="44">
        <f>$C$5*(1+C6)</f>
        <v/>
      </c>
      <c r="D14" s="44">
        <f>C14*(1+D6)</f>
        <v/>
      </c>
      <c r="E14" s="44">
        <f>D14*(1+E6)</f>
        <v/>
      </c>
      <c r="F14" s="44">
        <f>E14*(1+F6)</f>
        <v/>
      </c>
      <c r="G14" s="44">
        <f>F14*(1+G6)</f>
        <v/>
      </c>
    </row>
    <row r="15">
      <c r="B15" s="14" t="inlineStr">
        <is>
          <t>COGS</t>
        </is>
      </c>
      <c r="C15" s="15">
        <f>C14*(1-C9)</f>
        <v/>
      </c>
      <c r="D15" s="15">
        <f>D14*(1-D9)</f>
        <v/>
      </c>
      <c r="E15" s="15">
        <f>E14*(1-E9)</f>
        <v/>
      </c>
      <c r="F15" s="15">
        <f>F14*(1-F9)</f>
        <v/>
      </c>
      <c r="G15" s="15">
        <f>G14*(1-G9)</f>
        <v/>
      </c>
    </row>
    <row r="16">
      <c r="B16" s="43" t="inlineStr">
        <is>
          <t>Gross Profit</t>
        </is>
      </c>
      <c r="C16" s="44">
        <f>C14-C15</f>
        <v/>
      </c>
      <c r="D16" s="44">
        <f>D14-D15</f>
        <v/>
      </c>
      <c r="E16" s="44">
        <f>E14-E15</f>
        <v/>
      </c>
      <c r="F16" s="44">
        <f>F14-F15</f>
        <v/>
      </c>
      <c r="G16" s="44">
        <f>G14-G15</f>
        <v/>
      </c>
    </row>
    <row r="17">
      <c r="B17" s="14" t="inlineStr">
        <is>
          <t>Gross Margin</t>
        </is>
      </c>
      <c r="C17" s="27">
        <f>C16/C14</f>
        <v/>
      </c>
      <c r="D17" s="27">
        <f>D16/D14</f>
        <v/>
      </c>
      <c r="E17" s="27">
        <f>E16/E14</f>
        <v/>
      </c>
      <c r="F17" s="27">
        <f>F16/F14</f>
        <v/>
      </c>
      <c r="G17" s="27">
        <f>G16/G14</f>
        <v/>
      </c>
    </row>
    <row r="18">
      <c r="B18" s="43" t="inlineStr">
        <is>
          <t>EBITDA</t>
        </is>
      </c>
      <c r="C18" s="44">
        <f>C14*C7</f>
        <v/>
      </c>
      <c r="D18" s="44">
        <f>D14*D7</f>
        <v/>
      </c>
      <c r="E18" s="44">
        <f>E14*E7</f>
        <v/>
      </c>
      <c r="F18" s="44">
        <f>F14*F7</f>
        <v/>
      </c>
      <c r="G18" s="44">
        <f>G14*G7</f>
        <v/>
      </c>
    </row>
    <row r="19">
      <c r="B19" s="14" t="inlineStr">
        <is>
          <t>EBITDA Margin</t>
        </is>
      </c>
      <c r="C19" s="27">
        <f>C18/C14</f>
        <v/>
      </c>
      <c r="D19" s="27">
        <f>D18/D14</f>
        <v/>
      </c>
      <c r="E19" s="27">
        <f>E18/E14</f>
        <v/>
      </c>
      <c r="F19" s="27">
        <f>F18/F14</f>
        <v/>
      </c>
      <c r="G19" s="27">
        <f>G18/G14</f>
        <v/>
      </c>
    </row>
    <row r="20">
      <c r="B20" s="16" t="inlineStr">
        <is>
          <t>Mgmt Fee</t>
        </is>
      </c>
      <c r="C20" s="18">
        <f>C11</f>
        <v/>
      </c>
      <c r="D20" s="18">
        <f>D11</f>
        <v/>
      </c>
      <c r="E20" s="18">
        <f>E11</f>
        <v/>
      </c>
      <c r="F20" s="18">
        <f>F11</f>
        <v/>
      </c>
      <c r="G20" s="18">
        <f>G11</f>
        <v/>
      </c>
    </row>
    <row r="21">
      <c r="B21" s="6" t="inlineStr">
        <is>
          <t>Adj EBITDA</t>
        </is>
      </c>
      <c r="C21" s="45">
        <f>C18+C20</f>
        <v/>
      </c>
      <c r="D21" s="45">
        <f>D18+D20</f>
        <v/>
      </c>
      <c r="E21" s="45">
        <f>E18+E20</f>
        <v/>
      </c>
      <c r="F21" s="45">
        <f>F18+F20</f>
        <v/>
      </c>
      <c r="G21" s="45">
        <f>G18+G20</f>
        <v/>
      </c>
    </row>
    <row r="22">
      <c r="B22" s="16" t="inlineStr">
        <is>
          <t>D&amp;A</t>
        </is>
      </c>
      <c r="C22" s="18">
        <f>C14*C8</f>
        <v/>
      </c>
      <c r="D22" s="18">
        <f>D14*D8</f>
        <v/>
      </c>
      <c r="E22" s="18">
        <f>E14*E8</f>
        <v/>
      </c>
      <c r="F22" s="18">
        <f>F14*F8</f>
        <v/>
      </c>
      <c r="G22" s="18">
        <f>G14*G8</f>
        <v/>
      </c>
    </row>
    <row r="23">
      <c r="B23" s="43" t="inlineStr">
        <is>
          <t>EBIT</t>
        </is>
      </c>
      <c r="C23" s="44">
        <f>C18-C22</f>
        <v/>
      </c>
      <c r="D23" s="44">
        <f>D18-D22</f>
        <v/>
      </c>
      <c r="E23" s="44">
        <f>E18-E22</f>
        <v/>
      </c>
      <c r="F23" s="44">
        <f>F18-F22</f>
        <v/>
      </c>
      <c r="G23" s="44">
        <f>G18-G22</f>
        <v/>
      </c>
    </row>
    <row r="24">
      <c r="B24" s="16" t="inlineStr">
        <is>
          <t>Interest Expense ‡</t>
        </is>
      </c>
      <c r="C24" s="18" t="n">
        <v>1816.6</v>
      </c>
      <c r="D24" s="18" t="n">
        <v>1777</v>
      </c>
      <c r="E24" s="18" t="n">
        <v>1710.2</v>
      </c>
      <c r="F24" s="18" t="n">
        <v>1610.8</v>
      </c>
      <c r="G24" s="18" t="n">
        <v>1470.4</v>
      </c>
    </row>
    <row r="25">
      <c r="B25" s="43" t="inlineStr">
        <is>
          <t>EBT</t>
        </is>
      </c>
      <c r="C25" s="44">
        <f>C23-C24</f>
        <v/>
      </c>
      <c r="D25" s="44">
        <f>D23-D24</f>
        <v/>
      </c>
      <c r="E25" s="44">
        <f>E23-E24</f>
        <v/>
      </c>
      <c r="F25" s="44">
        <f>F23-F24</f>
        <v/>
      </c>
      <c r="G25" s="44">
        <f>G23-G24</f>
        <v/>
      </c>
    </row>
    <row r="26">
      <c r="B26" s="16" t="inlineStr">
        <is>
          <t>Tax</t>
        </is>
      </c>
      <c r="C26" s="18">
        <f>MAX(0,C25)*$C$10</f>
        <v/>
      </c>
      <c r="D26" s="18">
        <f>MAX(0,D25)*$C$10</f>
        <v/>
      </c>
      <c r="E26" s="18">
        <f>MAX(0,E25)*$C$10</f>
        <v/>
      </c>
      <c r="F26" s="18">
        <f>MAX(0,F25)*$C$10</f>
        <v/>
      </c>
      <c r="G26" s="18">
        <f>MAX(0,G25)*$C$10</f>
        <v/>
      </c>
    </row>
    <row r="27">
      <c r="B27" s="43" t="inlineStr">
        <is>
          <t>Net Income</t>
        </is>
      </c>
      <c r="C27" s="44">
        <f>C25-C26</f>
        <v/>
      </c>
      <c r="D27" s="44">
        <f>D25-D26</f>
        <v/>
      </c>
      <c r="E27" s="44">
        <f>E25-E26</f>
        <v/>
      </c>
      <c r="F27" s="44">
        <f>F25-F26</f>
        <v/>
      </c>
      <c r="G27" s="44">
        <f>G25-G26</f>
        <v/>
      </c>
    </row>
    <row r="29">
      <c r="B29" s="46" t="inlineStr">
        <is>
          <t>‡ Interest Expense is computed by an iterative cash-sweep debt model and cannot be replicated by a simple Excel formula. All other P&amp;L line items are formula-driven.</t>
        </is>
      </c>
    </row>
  </sheetData>
  <mergeCells count="3">
    <mergeCell ref="B4:F4"/>
    <mergeCell ref="B13:F13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B1" s="13" t="inlineStr">
        <is>
          <t>PROJECTED CASH FLOW STATEMENT  ($M)</t>
        </is>
      </c>
    </row>
    <row r="3">
      <c r="B3" s="29" t="inlineStr">
        <is>
          <t>Line Item</t>
        </is>
      </c>
      <c r="C3" s="30" t="inlineStr">
        <is>
          <t>Year 1</t>
        </is>
      </c>
      <c r="D3" s="30" t="inlineStr">
        <is>
          <t>Year 2</t>
        </is>
      </c>
      <c r="E3" s="30" t="inlineStr">
        <is>
          <t>Year 3</t>
        </is>
      </c>
      <c r="F3" s="30" t="inlineStr">
        <is>
          <t>Year 4</t>
        </is>
      </c>
      <c r="G3" s="30" t="inlineStr">
        <is>
          <t>Year 5</t>
        </is>
      </c>
    </row>
    <row r="4">
      <c r="B4" s="16" t="inlineStr">
        <is>
          <t>Net Income</t>
        </is>
      </c>
      <c r="C4" s="18">
        <f>'Income Statement'!C27</f>
        <v/>
      </c>
      <c r="D4" s="18">
        <f>'Income Statement'!D27</f>
        <v/>
      </c>
      <c r="E4" s="18">
        <f>'Income Statement'!E27</f>
        <v/>
      </c>
      <c r="F4" s="18">
        <f>'Income Statement'!F27</f>
        <v/>
      </c>
      <c r="G4" s="18">
        <f>'Income Statement'!G27</f>
        <v/>
      </c>
    </row>
    <row r="5">
      <c r="B5" s="14" t="inlineStr">
        <is>
          <t>(+) D&amp;A</t>
        </is>
      </c>
      <c r="C5" s="15">
        <f>'Income Statement'!C22</f>
        <v/>
      </c>
      <c r="D5" s="15">
        <f>'Income Statement'!D22</f>
        <v/>
      </c>
      <c r="E5" s="15">
        <f>'Income Statement'!E22</f>
        <v/>
      </c>
      <c r="F5" s="15">
        <f>'Income Statement'!F22</f>
        <v/>
      </c>
      <c r="G5" s="15">
        <f>'Income Statement'!G22</f>
        <v/>
      </c>
    </row>
    <row r="6">
      <c r="B6" s="16" t="inlineStr">
        <is>
          <t>(+) DFF Amort</t>
        </is>
      </c>
      <c r="C6" s="18" t="n">
        <v>47.7</v>
      </c>
      <c r="D6" s="18" t="n">
        <v>47.7</v>
      </c>
      <c r="E6" s="18" t="n">
        <v>47.7</v>
      </c>
      <c r="F6" s="18" t="n">
        <v>47.7</v>
      </c>
      <c r="G6" s="18" t="n">
        <v>47.7</v>
      </c>
    </row>
    <row r="7">
      <c r="B7" s="14" t="inlineStr">
        <is>
          <t>Δ NWC</t>
        </is>
      </c>
      <c r="C7" s="15" t="n">
        <v>-104.9</v>
      </c>
      <c r="D7" s="15" t="n">
        <v>-142.8</v>
      </c>
      <c r="E7" s="15" t="n">
        <v>-162.2</v>
      </c>
      <c r="F7" s="15" t="n">
        <v>-183.6</v>
      </c>
      <c r="G7" s="15" t="n">
        <v>-207.3</v>
      </c>
    </row>
    <row r="8">
      <c r="B8" s="43" t="inlineStr">
        <is>
          <t>Operating CF</t>
        </is>
      </c>
      <c r="C8" s="44">
        <f>C4+C5+C6+C7</f>
        <v/>
      </c>
      <c r="D8" s="44">
        <f>D4+D5+D6+D7</f>
        <v/>
      </c>
      <c r="E8" s="44">
        <f>E4+E5+E6+E7</f>
        <v/>
      </c>
      <c r="F8" s="44">
        <f>F4+F5+F6+F7</f>
        <v/>
      </c>
      <c r="G8" s="44">
        <f>G4+G5+G6+G7</f>
        <v/>
      </c>
    </row>
    <row r="9">
      <c r="B9" s="14" t="inlineStr">
        <is>
          <t>(-) CapEx</t>
        </is>
      </c>
      <c r="C9" s="15">
        <f>-'Income Statement'!C14*0.041</f>
        <v/>
      </c>
      <c r="D9" s="15">
        <f>-'Income Statement'!D14*0.0395</f>
        <v/>
      </c>
      <c r="E9" s="15">
        <f>-'Income Statement'!E14*0.038</f>
        <v/>
      </c>
      <c r="F9" s="15">
        <f>-'Income Statement'!F14*0.036500000000000005</f>
        <v/>
      </c>
      <c r="G9" s="15">
        <f>-'Income Statement'!G14*0.035</f>
        <v/>
      </c>
    </row>
    <row r="10">
      <c r="B10" s="16" t="inlineStr">
        <is>
          <t>Investing CF</t>
        </is>
      </c>
      <c r="C10" s="18">
        <f>C9</f>
        <v/>
      </c>
      <c r="D10" s="18">
        <f>D9</f>
        <v/>
      </c>
      <c r="E10" s="18">
        <f>E9</f>
        <v/>
      </c>
      <c r="F10" s="18">
        <f>F9</f>
        <v/>
      </c>
      <c r="G10" s="18">
        <f>G9</f>
        <v/>
      </c>
    </row>
    <row r="11">
      <c r="B11" s="43" t="inlineStr">
        <is>
          <t>Free Cash Flow</t>
        </is>
      </c>
      <c r="C11" s="44">
        <f>C8+C10</f>
        <v/>
      </c>
      <c r="D11" s="44">
        <f>D8+D10</f>
        <v/>
      </c>
      <c r="E11" s="44">
        <f>E8+E10</f>
        <v/>
      </c>
      <c r="F11" s="44">
        <f>F8+F10</f>
        <v/>
      </c>
      <c r="G11" s="44">
        <f>G8+G10</f>
        <v/>
      </c>
    </row>
    <row r="12">
      <c r="B12" s="16" t="inlineStr">
        <is>
          <t>(-) Debt Repaid</t>
        </is>
      </c>
      <c r="C12" s="18" t="n">
        <v>-329</v>
      </c>
      <c r="D12" s="18" t="n">
        <v>-641</v>
      </c>
      <c r="E12" s="18" t="n">
        <v>-1008.3</v>
      </c>
      <c r="F12" s="18" t="n">
        <v>-1439.5</v>
      </c>
      <c r="G12" s="18" t="n">
        <v>-1950.6</v>
      </c>
    </row>
    <row r="13">
      <c r="B13" s="14" t="inlineStr">
        <is>
          <t>(-) Mgmt Fee</t>
        </is>
      </c>
      <c r="C13" s="15" t="n">
        <v>-20</v>
      </c>
      <c r="D13" s="15" t="n">
        <v>-20</v>
      </c>
      <c r="E13" s="15" t="n">
        <v>-20</v>
      </c>
      <c r="F13" s="15" t="n">
        <v>-20</v>
      </c>
      <c r="G13" s="15" t="n">
        <v>-20</v>
      </c>
    </row>
    <row r="14">
      <c r="B14" s="16" t="inlineStr">
        <is>
          <t>Financing CF</t>
        </is>
      </c>
      <c r="C14" s="18">
        <f>C12+C13</f>
        <v/>
      </c>
      <c r="D14" s="18">
        <f>D12+D13</f>
        <v/>
      </c>
      <c r="E14" s="18">
        <f>E12+E13</f>
        <v/>
      </c>
      <c r="F14" s="18">
        <f>F12+F13</f>
        <v/>
      </c>
      <c r="G14" s="18">
        <f>G12+G13</f>
        <v/>
      </c>
    </row>
    <row r="15">
      <c r="B15" s="43" t="inlineStr">
        <is>
          <t>Net Change in Cash</t>
        </is>
      </c>
      <c r="C15" s="44">
        <f>C8+C10+C14</f>
        <v/>
      </c>
      <c r="D15" s="44">
        <f>D8+D10+D14</f>
        <v/>
      </c>
      <c r="E15" s="44">
        <f>E8+E10+E14</f>
        <v/>
      </c>
      <c r="F15" s="44">
        <f>F8+F10+F14</f>
        <v/>
      </c>
      <c r="G15" s="44">
        <f>G8+G10+G14</f>
        <v/>
      </c>
    </row>
  </sheetData>
  <mergeCells count="1">
    <mergeCell ref="B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B1" s="13" t="inlineStr">
        <is>
          <t>BALANCE SHEET  ($M)</t>
        </is>
      </c>
    </row>
    <row r="3">
      <c r="B3" s="29" t="inlineStr">
        <is>
          <t>Line Item</t>
        </is>
      </c>
      <c r="C3" s="30" t="inlineStr">
        <is>
          <t>Day 1 (Opening)</t>
        </is>
      </c>
      <c r="D3" s="30" t="inlineStr">
        <is>
          <t>Year 1</t>
        </is>
      </c>
      <c r="E3" s="30" t="inlineStr">
        <is>
          <t>Year 2</t>
        </is>
      </c>
      <c r="F3" s="30" t="inlineStr">
        <is>
          <t>Year 3</t>
        </is>
      </c>
      <c r="G3" s="30" t="inlineStr">
        <is>
          <t>Year 4</t>
        </is>
      </c>
      <c r="H3" s="30" t="inlineStr">
        <is>
          <t>Year 5</t>
        </is>
      </c>
    </row>
    <row r="4">
      <c r="B4" s="14" t="inlineStr">
        <is>
          <t>Cash &amp; Equivalents</t>
        </is>
      </c>
      <c r="C4" s="15" t="n">
        <v>300</v>
      </c>
      <c r="D4" s="15" t="n">
        <v>299.9</v>
      </c>
      <c r="E4" s="15" t="n">
        <v>203.7</v>
      </c>
      <c r="F4" s="15" t="n">
        <v>99.5</v>
      </c>
      <c r="G4" s="15" t="n">
        <v>0</v>
      </c>
      <c r="H4" s="15" t="n">
        <v>0</v>
      </c>
    </row>
    <row r="5">
      <c r="B5" s="16" t="inlineStr">
        <is>
          <t>Accounts Receivable</t>
        </is>
      </c>
      <c r="C5" s="18" t="n">
        <v>224</v>
      </c>
      <c r="D5" s="18" t="n">
        <v>237.2</v>
      </c>
      <c r="E5" s="18" t="n">
        <v>247.6</v>
      </c>
      <c r="F5" s="18" t="n">
        <v>259.4</v>
      </c>
      <c r="G5" s="18" t="n">
        <v>272.7</v>
      </c>
      <c r="H5" s="18" t="n">
        <v>287.7</v>
      </c>
    </row>
    <row r="6">
      <c r="B6" s="14" t="inlineStr">
        <is>
          <t>Inventory</t>
        </is>
      </c>
      <c r="C6" s="15" t="n">
        <v>7014</v>
      </c>
      <c r="D6" s="15" t="n">
        <v>7212.2</v>
      </c>
      <c r="E6" s="15" t="n">
        <v>7506.1</v>
      </c>
      <c r="F6" s="15" t="n">
        <v>7840</v>
      </c>
      <c r="G6" s="15" t="n">
        <v>8218</v>
      </c>
      <c r="H6" s="15" t="n">
        <v>8644.9</v>
      </c>
    </row>
    <row r="7">
      <c r="B7" s="16" t="inlineStr">
        <is>
          <t>Other Current Assets</t>
        </is>
      </c>
      <c r="C7" s="18" t="n">
        <v>500</v>
      </c>
      <c r="D7" s="18" t="n">
        <v>510</v>
      </c>
      <c r="E7" s="18" t="n">
        <v>510.9</v>
      </c>
      <c r="F7" s="18" t="n">
        <v>511.9</v>
      </c>
      <c r="G7" s="18" t="n">
        <v>512.8</v>
      </c>
      <c r="H7" s="18" t="n">
        <v>513.8</v>
      </c>
    </row>
    <row r="8">
      <c r="B8" s="6" t="inlineStr">
        <is>
          <t>Total Current Assets</t>
        </is>
      </c>
      <c r="C8" s="45" t="n">
        <v>8038</v>
      </c>
      <c r="D8" s="45">
        <f>SUM(D4:D7)</f>
        <v/>
      </c>
      <c r="E8" s="45">
        <f>SUM(E4:E7)</f>
        <v/>
      </c>
      <c r="F8" s="45">
        <f>SUM(F4:F7)</f>
        <v/>
      </c>
      <c r="G8" s="45">
        <f>SUM(G4:G7)</f>
        <v/>
      </c>
      <c r="H8" s="45">
        <f>SUM(H4:H7)</f>
        <v/>
      </c>
    </row>
    <row r="9">
      <c r="B9" s="16" t="inlineStr">
        <is>
          <t>PP&amp;E (net)</t>
        </is>
      </c>
      <c r="C9" s="18" t="n">
        <v>5962</v>
      </c>
      <c r="D9" s="18" t="n">
        <v>6178.5</v>
      </c>
      <c r="E9" s="18" t="n">
        <v>6383.9</v>
      </c>
      <c r="F9" s="18" t="n">
        <v>6577.6</v>
      </c>
      <c r="G9" s="18" t="n">
        <v>6758.5</v>
      </c>
      <c r="H9" s="18" t="n">
        <v>6925.6</v>
      </c>
    </row>
    <row r="10">
      <c r="B10" s="14" t="inlineStr">
        <is>
          <t>Operating Lease ROU Assets</t>
        </is>
      </c>
      <c r="C10" s="15" t="n">
        <v>8089</v>
      </c>
      <c r="D10" s="15" t="n">
        <v>8089</v>
      </c>
      <c r="E10" s="15" t="n">
        <v>7927.2</v>
      </c>
      <c r="F10" s="15" t="n">
        <v>7768.7</v>
      </c>
      <c r="G10" s="15" t="n">
        <v>7613.3</v>
      </c>
      <c r="H10" s="15" t="n">
        <v>7461</v>
      </c>
    </row>
    <row r="11">
      <c r="B11" s="16" t="inlineStr">
        <is>
          <t>Goodwill</t>
        </is>
      </c>
      <c r="C11" s="18" t="n">
        <v>30074.1</v>
      </c>
      <c r="D11" s="18" t="n">
        <v>30074.1</v>
      </c>
      <c r="E11" s="18" t="n">
        <v>30074.1</v>
      </c>
      <c r="F11" s="18" t="n">
        <v>30074.1</v>
      </c>
      <c r="G11" s="18" t="n">
        <v>30056.3</v>
      </c>
      <c r="H11" s="18" t="n">
        <v>29916.7</v>
      </c>
    </row>
    <row r="12">
      <c r="B12" s="14" t="inlineStr">
        <is>
          <t>Deferred Financing Fees</t>
        </is>
      </c>
      <c r="C12" s="15" t="n">
        <v>347.5</v>
      </c>
      <c r="D12" s="15" t="n">
        <v>299.8</v>
      </c>
      <c r="E12" s="15" t="n">
        <v>252</v>
      </c>
      <c r="F12" s="15" t="n">
        <v>204.3</v>
      </c>
      <c r="G12" s="15" t="n">
        <v>156.6</v>
      </c>
      <c r="H12" s="15" t="n">
        <v>108.8</v>
      </c>
    </row>
    <row r="13">
      <c r="B13" s="16" t="inlineStr">
        <is>
          <t>Other LT Assets</t>
        </is>
      </c>
      <c r="C13" s="18" t="n">
        <v>1487</v>
      </c>
      <c r="D13" s="18" t="n">
        <v>1487</v>
      </c>
      <c r="E13" s="18" t="n">
        <v>1487</v>
      </c>
      <c r="F13" s="18" t="n">
        <v>1487</v>
      </c>
      <c r="G13" s="18" t="n">
        <v>1487</v>
      </c>
      <c r="H13" s="18" t="n">
        <v>1487</v>
      </c>
    </row>
    <row r="14">
      <c r="B14" s="43" t="inlineStr">
        <is>
          <t>Total Assets</t>
        </is>
      </c>
      <c r="C14" s="44" t="n">
        <v>53997.6</v>
      </c>
      <c r="D14" s="44">
        <f>D8+D9+D10+D11+D12+D13</f>
        <v/>
      </c>
      <c r="E14" s="44">
        <f>E8+E9+E10+E11+E12+E13</f>
        <v/>
      </c>
      <c r="F14" s="44">
        <f>F8+F9+F10+F11+F12+F13</f>
        <v/>
      </c>
      <c r="G14" s="44">
        <f>G8+G9+G10+G11+G12+G13</f>
        <v/>
      </c>
      <c r="H14" s="44">
        <f>H8+H9+H10+H11+H12+H13</f>
        <v/>
      </c>
    </row>
    <row r="15">
      <c r="B15" s="16" t="inlineStr">
        <is>
          <t>Accounts Payable</t>
        </is>
      </c>
      <c r="C15" s="18" t="n">
        <v>3856</v>
      </c>
      <c r="D15" s="18" t="n">
        <v>3962.6</v>
      </c>
      <c r="E15" s="18" t="n">
        <v>4124.1</v>
      </c>
      <c r="F15" s="18" t="n">
        <v>4307.5</v>
      </c>
      <c r="G15" s="18" t="n">
        <v>4515.2</v>
      </c>
      <c r="H15" s="18" t="n">
        <v>4749.7</v>
      </c>
    </row>
    <row r="16">
      <c r="B16" s="14" t="inlineStr">
        <is>
          <t>Accrued Liabilities</t>
        </is>
      </c>
      <c r="C16" s="15" t="n">
        <v>784</v>
      </c>
      <c r="D16" s="15" t="n">
        <v>815.4</v>
      </c>
      <c r="E16" s="15" t="n">
        <v>851</v>
      </c>
      <c r="F16" s="15" t="n">
        <v>891.5</v>
      </c>
      <c r="G16" s="15" t="n">
        <v>937.1</v>
      </c>
      <c r="H16" s="15" t="n">
        <v>988.7</v>
      </c>
    </row>
    <row r="17">
      <c r="B17" s="16" t="inlineStr">
        <is>
          <t>Current Lease Liabilities</t>
        </is>
      </c>
      <c r="C17" s="18" t="n">
        <v>1002</v>
      </c>
      <c r="D17" s="18" t="n">
        <v>1002</v>
      </c>
      <c r="E17" s="18" t="n">
        <v>1002</v>
      </c>
      <c r="F17" s="18" t="n">
        <v>1002</v>
      </c>
      <c r="G17" s="18" t="n">
        <v>1002</v>
      </c>
      <c r="H17" s="18" t="n">
        <v>1002</v>
      </c>
    </row>
    <row r="18">
      <c r="B18" s="14" t="inlineStr">
        <is>
          <t>Other Current Liabilities</t>
        </is>
      </c>
      <c r="C18" s="15" t="n">
        <v>389</v>
      </c>
      <c r="D18" s="15" t="n">
        <v>404.6</v>
      </c>
      <c r="E18" s="15" t="n">
        <v>422.3</v>
      </c>
      <c r="F18" s="15" t="n">
        <v>442.3</v>
      </c>
      <c r="G18" s="15" t="n">
        <v>465</v>
      </c>
      <c r="H18" s="15" t="n">
        <v>490.6</v>
      </c>
    </row>
    <row r="19">
      <c r="B19" s="9" t="inlineStr">
        <is>
          <t>Total Current Liabilities</t>
        </is>
      </c>
      <c r="C19" s="41" t="n">
        <v>6031</v>
      </c>
      <c r="D19" s="41">
        <f>SUM(D15:D18)</f>
        <v/>
      </c>
      <c r="E19" s="41">
        <f>SUM(E15:E18)</f>
        <v/>
      </c>
      <c r="F19" s="41">
        <f>SUM(F15:F18)</f>
        <v/>
      </c>
      <c r="G19" s="41">
        <f>SUM(G15:G18)</f>
        <v/>
      </c>
      <c r="H19" s="41">
        <f>SUM(H15:H18)</f>
        <v/>
      </c>
    </row>
    <row r="20">
      <c r="B20" s="14" t="inlineStr">
        <is>
          <t>Total Debt (new structure)</t>
        </is>
      </c>
      <c r="C20" s="15" t="n">
        <v>21000</v>
      </c>
      <c r="D20" s="15" t="n">
        <v>20671</v>
      </c>
      <c r="E20" s="15" t="n">
        <v>20030</v>
      </c>
      <c r="F20" s="15" t="n">
        <v>19021.8</v>
      </c>
      <c r="G20" s="15" t="n">
        <v>17582.3</v>
      </c>
      <c r="H20" s="15" t="n">
        <v>15631.7</v>
      </c>
    </row>
    <row r="21">
      <c r="B21" s="16" t="inlineStr">
        <is>
          <t>LT Operating Lease</t>
        </is>
      </c>
      <c r="C21" s="18" t="n">
        <v>7999</v>
      </c>
      <c r="D21" s="18" t="n">
        <v>7999</v>
      </c>
      <c r="E21" s="18" t="n">
        <v>7759</v>
      </c>
      <c r="F21" s="18" t="n">
        <v>7526.3</v>
      </c>
      <c r="G21" s="18" t="n">
        <v>7300.5</v>
      </c>
      <c r="H21" s="18" t="n">
        <v>7081.5</v>
      </c>
    </row>
    <row r="22">
      <c r="B22" s="14" t="inlineStr">
        <is>
          <t>Other LT Liabilities</t>
        </is>
      </c>
      <c r="C22" s="15" t="n">
        <v>1724</v>
      </c>
      <c r="D22" s="15" t="n">
        <v>1793</v>
      </c>
      <c r="E22" s="15" t="n">
        <v>1871.4</v>
      </c>
      <c r="F22" s="15" t="n">
        <v>1960.3</v>
      </c>
      <c r="G22" s="15" t="n">
        <v>2060.8</v>
      </c>
      <c r="H22" s="15" t="n">
        <v>2174.1</v>
      </c>
    </row>
    <row r="23">
      <c r="B23" s="9" t="inlineStr">
        <is>
          <t>Total Liabilities</t>
        </is>
      </c>
      <c r="C23" s="41" t="n">
        <v>36754</v>
      </c>
      <c r="D23" s="41">
        <f>D19+D20+D21+D22</f>
        <v/>
      </c>
      <c r="E23" s="41">
        <f>E19+E20+E21+E22</f>
        <v/>
      </c>
      <c r="F23" s="41">
        <f>F19+F20+F21+F22</f>
        <v/>
      </c>
      <c r="G23" s="41">
        <f>G19+G20+G21+G22</f>
        <v/>
      </c>
      <c r="H23" s="41">
        <f>H19+H20+H21+H22</f>
        <v/>
      </c>
    </row>
    <row r="24">
      <c r="B24" s="14" t="inlineStr">
        <is>
          <t>Sponsor Equity (Paid-In)</t>
        </is>
      </c>
      <c r="C24" s="15" t="n">
        <v>17243.6</v>
      </c>
      <c r="D24" s="15" t="n">
        <v>17243.6</v>
      </c>
      <c r="E24" s="15" t="n">
        <v>17243.6</v>
      </c>
      <c r="F24" s="15" t="n">
        <v>17243.6</v>
      </c>
      <c r="G24" s="15" t="n">
        <v>17243.6</v>
      </c>
      <c r="H24" s="15" t="n">
        <v>17243.6</v>
      </c>
    </row>
    <row r="25">
      <c r="B25" s="16" t="inlineStr">
        <is>
          <t>Retained Earnings</t>
        </is>
      </c>
      <c r="C25" s="18" t="n">
        <v>0</v>
      </c>
      <c r="D25" s="18" t="n">
        <v>496.6</v>
      </c>
      <c r="E25" s="18" t="n">
        <v>1289.2</v>
      </c>
      <c r="F25" s="18" t="n">
        <v>2427.2</v>
      </c>
      <c r="G25" s="18" t="n">
        <v>3968.7</v>
      </c>
      <c r="H25" s="18" t="n">
        <v>5983.6</v>
      </c>
    </row>
    <row r="26">
      <c r="B26" s="6" t="inlineStr">
        <is>
          <t>Total Equity</t>
        </is>
      </c>
      <c r="C26" s="45" t="n">
        <v>17243.6</v>
      </c>
      <c r="D26" s="45">
        <f>D24+D25</f>
        <v/>
      </c>
      <c r="E26" s="45">
        <f>E24+E25</f>
        <v/>
      </c>
      <c r="F26" s="45">
        <f>F24+F25</f>
        <v/>
      </c>
      <c r="G26" s="45">
        <f>G24+G25</f>
        <v/>
      </c>
      <c r="H26" s="45">
        <f>H24+H25</f>
        <v/>
      </c>
    </row>
    <row r="27">
      <c r="B27" s="43" t="inlineStr">
        <is>
          <t>Total L+E</t>
        </is>
      </c>
      <c r="C27" s="44" t="n">
        <v>53997.6</v>
      </c>
      <c r="D27" s="44">
        <f>D23+D26</f>
        <v/>
      </c>
      <c r="E27" s="44">
        <f>E23+E26</f>
        <v/>
      </c>
      <c r="F27" s="44">
        <f>F23+F26</f>
        <v/>
      </c>
      <c r="G27" s="44">
        <f>G23+G26</f>
        <v/>
      </c>
      <c r="H27" s="44">
        <f>H23+H26</f>
        <v/>
      </c>
    </row>
    <row r="28">
      <c r="B28" s="47" t="inlineStr">
        <is>
          <t>BS Check (Assets - L+E)</t>
        </is>
      </c>
      <c r="C28" s="48" t="n">
        <v>0</v>
      </c>
      <c r="D28" s="48">
        <f>D14-D27</f>
        <v/>
      </c>
      <c r="E28" s="48">
        <f>E14-E27</f>
        <v/>
      </c>
      <c r="F28" s="48">
        <f>F14-F27</f>
        <v/>
      </c>
      <c r="G28" s="48">
        <f>G14-G27</f>
        <v/>
      </c>
      <c r="H28" s="48">
        <f>H14-H27</f>
        <v/>
      </c>
    </row>
  </sheetData>
  <mergeCells count="1">
    <mergeCell ref="B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7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B1" s="13" t="inlineStr">
        <is>
          <t>DEBT SCHEDULE &amp; CASH SWEEP  ($M)</t>
        </is>
      </c>
    </row>
    <row r="3">
      <c r="B3" s="3" t="inlineStr">
        <is>
          <t>CONSOLIDATED DEBT SUMMARY</t>
        </is>
      </c>
      <c r="C3" s="4" t="n"/>
      <c r="D3" s="4" t="n"/>
      <c r="E3" s="4" t="n"/>
      <c r="F3" s="5" t="n"/>
    </row>
    <row r="4">
      <c r="B4" s="29" t="inlineStr">
        <is>
          <t>Metric</t>
        </is>
      </c>
      <c r="C4" s="30" t="inlineStr">
        <is>
          <t>Year 1</t>
        </is>
      </c>
      <c r="D4" s="30" t="inlineStr">
        <is>
          <t>Year 2</t>
        </is>
      </c>
      <c r="E4" s="30" t="inlineStr">
        <is>
          <t>Year 3</t>
        </is>
      </c>
      <c r="F4" s="30" t="inlineStr">
        <is>
          <t>Year 4</t>
        </is>
      </c>
      <c r="G4" s="30" t="inlineStr">
        <is>
          <t>Year 5</t>
        </is>
      </c>
    </row>
    <row r="5">
      <c r="B5" s="14" t="inlineStr">
        <is>
          <t>Beg. Total Debt ($M)</t>
        </is>
      </c>
      <c r="C5" s="15" t="n">
        <v>21000</v>
      </c>
      <c r="D5" s="15" t="n">
        <v>20671</v>
      </c>
      <c r="E5" s="15" t="n">
        <v>20030</v>
      </c>
      <c r="F5" s="15" t="n">
        <v>19021.8</v>
      </c>
      <c r="G5" s="15" t="n">
        <v>17582.3</v>
      </c>
    </row>
    <row r="6">
      <c r="B6" s="16" t="inlineStr">
        <is>
          <t>Req. Amortization ($M)</t>
        </is>
      </c>
      <c r="C6" s="18" t="n">
        <v>280</v>
      </c>
      <c r="D6" s="18" t="n">
        <v>280</v>
      </c>
      <c r="E6" s="18" t="n">
        <v>280</v>
      </c>
      <c r="F6" s="18" t="n">
        <v>280</v>
      </c>
      <c r="G6" s="18" t="n">
        <v>280</v>
      </c>
    </row>
    <row r="7">
      <c r="B7" s="14" t="inlineStr">
        <is>
          <t>Cash Sweep ($M)</t>
        </is>
      </c>
      <c r="C7" s="15" t="n">
        <v>49</v>
      </c>
      <c r="D7" s="15" t="n">
        <v>361</v>
      </c>
      <c r="E7" s="15" t="n">
        <v>728.3</v>
      </c>
      <c r="F7" s="15" t="n">
        <v>1159.5</v>
      </c>
      <c r="G7" s="15" t="n">
        <v>1670.6</v>
      </c>
    </row>
    <row r="8">
      <c r="B8" s="16" t="inlineStr">
        <is>
          <t>Total Repaid ($M)</t>
        </is>
      </c>
      <c r="C8" s="18" t="n">
        <v>329</v>
      </c>
      <c r="D8" s="18" t="n">
        <v>641</v>
      </c>
      <c r="E8" s="18" t="n">
        <v>1008.3</v>
      </c>
      <c r="F8" s="18" t="n">
        <v>1439.5</v>
      </c>
      <c r="G8" s="18" t="n">
        <v>1950.6</v>
      </c>
    </row>
    <row r="9">
      <c r="B9" s="6" t="inlineStr">
        <is>
          <t>End. Total Debt ($M)</t>
        </is>
      </c>
      <c r="C9" s="45">
        <f>C5-C6-C7</f>
        <v/>
      </c>
      <c r="D9" s="45">
        <f>D5-D6-D7</f>
        <v/>
      </c>
      <c r="E9" s="45">
        <f>E5-E6-E7</f>
        <v/>
      </c>
      <c r="F9" s="45">
        <f>F5-F6-F7</f>
        <v/>
      </c>
      <c r="G9" s="45">
        <f>G5-G6-G7</f>
        <v/>
      </c>
    </row>
    <row r="10">
      <c r="B10" s="16" t="inlineStr">
        <is>
          <t>Cash Interest ($M)</t>
        </is>
      </c>
      <c r="C10" s="18" t="n">
        <v>1768.8</v>
      </c>
      <c r="D10" s="18" t="n">
        <v>1729.3</v>
      </c>
      <c r="E10" s="18" t="n">
        <v>1662.5</v>
      </c>
      <c r="F10" s="18" t="n">
        <v>1563.1</v>
      </c>
      <c r="G10" s="18" t="n">
        <v>1422.7</v>
      </c>
    </row>
    <row r="11">
      <c r="B11" s="14" t="inlineStr">
        <is>
          <t>DFF Amort ($M)</t>
        </is>
      </c>
      <c r="C11" s="15" t="n">
        <v>47.7</v>
      </c>
      <c r="D11" s="15" t="n">
        <v>47.7</v>
      </c>
      <c r="E11" s="15" t="n">
        <v>47.7</v>
      </c>
      <c r="F11" s="15" t="n">
        <v>47.7</v>
      </c>
      <c r="G11" s="15" t="n">
        <v>47.7</v>
      </c>
    </row>
    <row r="12">
      <c r="B12" s="9" t="inlineStr">
        <is>
          <t>Interest Expense ($M)</t>
        </is>
      </c>
      <c r="C12" s="41" t="n">
        <v>1816.6</v>
      </c>
      <c r="D12" s="41" t="n">
        <v>1777</v>
      </c>
      <c r="E12" s="41" t="n">
        <v>1710.2</v>
      </c>
      <c r="F12" s="41" t="n">
        <v>1610.8</v>
      </c>
      <c r="G12" s="41" t="n">
        <v>1470.4</v>
      </c>
    </row>
    <row r="13">
      <c r="B13" s="6" t="inlineStr">
        <is>
          <t>Gross Leverage (x)</t>
        </is>
      </c>
      <c r="C13" s="49" t="n">
        <v>5.36</v>
      </c>
      <c r="D13" s="49" t="n">
        <v>4.75</v>
      </c>
      <c r="E13" s="49" t="n">
        <v>4.11</v>
      </c>
      <c r="F13" s="49" t="n">
        <v>3.46</v>
      </c>
      <c r="G13" s="49" t="n">
        <v>2.8</v>
      </c>
    </row>
    <row r="14">
      <c r="B14" s="16" t="inlineStr">
        <is>
          <t>Interest Coverage (x)</t>
        </is>
      </c>
      <c r="C14" s="50" t="n">
        <v>2.12</v>
      </c>
      <c r="D14" s="50" t="n">
        <v>2.38</v>
      </c>
      <c r="E14" s="50" t="n">
        <v>2.7</v>
      </c>
      <c r="F14" s="50" t="n">
        <v>3.15</v>
      </c>
      <c r="G14" s="50" t="n">
        <v>3.8</v>
      </c>
    </row>
    <row r="15">
      <c r="B15" s="14" t="inlineStr">
        <is>
          <t>Revolver ($M)</t>
        </is>
      </c>
      <c r="C15" s="15" t="n">
        <v>451</v>
      </c>
      <c r="D15" s="15" t="n">
        <v>90</v>
      </c>
      <c r="E15" s="15" t="n">
        <v>0</v>
      </c>
      <c r="F15" s="15" t="n">
        <v>0</v>
      </c>
      <c r="G15" s="15" t="n">
        <v>0</v>
      </c>
    </row>
    <row r="16">
      <c r="B16" s="16" t="inlineStr">
        <is>
          <t>Term Loan A ($M)</t>
        </is>
      </c>
      <c r="C16" s="18" t="n">
        <v>3800</v>
      </c>
      <c r="D16" s="18" t="n">
        <v>3600</v>
      </c>
      <c r="E16" s="18" t="n">
        <v>2761.8</v>
      </c>
      <c r="F16" s="18" t="n">
        <v>1402.3</v>
      </c>
      <c r="G16" s="18" t="n">
        <v>0</v>
      </c>
    </row>
    <row r="17">
      <c r="B17" s="14" t="inlineStr">
        <is>
          <t>Term Loan B ($M)</t>
        </is>
      </c>
      <c r="C17" s="15" t="n">
        <v>7920</v>
      </c>
      <c r="D17" s="15" t="n">
        <v>7840</v>
      </c>
      <c r="E17" s="15" t="n">
        <v>7760</v>
      </c>
      <c r="F17" s="15" t="n">
        <v>7680</v>
      </c>
      <c r="G17" s="15" t="n">
        <v>7131.7</v>
      </c>
    </row>
    <row r="18">
      <c r="B18" s="16" t="inlineStr">
        <is>
          <t>Senior Secured Notes ($M)</t>
        </is>
      </c>
      <c r="C18" s="18" t="n">
        <v>5000</v>
      </c>
      <c r="D18" s="18" t="n">
        <v>5000</v>
      </c>
      <c r="E18" s="18" t="n">
        <v>5000</v>
      </c>
      <c r="F18" s="18" t="n">
        <v>5000</v>
      </c>
      <c r="G18" s="18" t="n">
        <v>5000</v>
      </c>
    </row>
    <row r="19">
      <c r="B19" s="14" t="inlineStr">
        <is>
          <t>High Yield Notes ($M)</t>
        </is>
      </c>
      <c r="C19" s="15" t="n">
        <v>3500</v>
      </c>
      <c r="D19" s="15" t="n">
        <v>3500</v>
      </c>
      <c r="E19" s="15" t="n">
        <v>3500</v>
      </c>
      <c r="F19" s="15" t="n">
        <v>3500</v>
      </c>
      <c r="G19" s="15" t="n">
        <v>3500</v>
      </c>
    </row>
    <row r="21">
      <c r="B21" s="3" t="inlineStr">
        <is>
          <t>TRANCHE: REVOLVER</t>
        </is>
      </c>
      <c r="C21" s="4" t="n"/>
      <c r="D21" s="4" t="n"/>
      <c r="E21" s="4" t="n"/>
      <c r="F21" s="5" t="n"/>
    </row>
    <row r="22">
      <c r="B22" s="29" t="inlineStr">
        <is>
          <t>Item</t>
        </is>
      </c>
      <c r="C22" s="30" t="inlineStr">
        <is>
          <t>Year 1</t>
        </is>
      </c>
      <c r="D22" s="30" t="inlineStr">
        <is>
          <t>Year 2</t>
        </is>
      </c>
      <c r="E22" s="30" t="inlineStr">
        <is>
          <t>Year 3</t>
        </is>
      </c>
      <c r="F22" s="30" t="inlineStr">
        <is>
          <t>Year 4</t>
        </is>
      </c>
      <c r="G22" s="30" t="inlineStr">
        <is>
          <t>Year 5</t>
        </is>
      </c>
    </row>
    <row r="23">
      <c r="B23" s="14" t="inlineStr">
        <is>
          <t>Beginning Balance ($M)</t>
        </is>
      </c>
      <c r="C23" s="15" t="n">
        <v>500</v>
      </c>
      <c r="D23" s="15" t="n">
        <v>451</v>
      </c>
      <c r="E23" s="15" t="n">
        <v>90</v>
      </c>
      <c r="F23" s="15" t="n">
        <v>0</v>
      </c>
      <c r="G23" s="15" t="n">
        <v>0</v>
      </c>
    </row>
    <row r="24">
      <c r="B24" s="16" t="inlineStr">
        <is>
          <t>Required Amort ($M)</t>
        </is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</row>
    <row r="25">
      <c r="B25" s="14" t="inlineStr">
        <is>
          <t>Cash Sweep ($M)</t>
        </is>
      </c>
      <c r="C25" s="15" t="n">
        <v>49</v>
      </c>
      <c r="D25" s="15" t="n">
        <v>361</v>
      </c>
      <c r="E25" s="15" t="n">
        <v>90</v>
      </c>
      <c r="F25" s="15" t="n">
        <v>0</v>
      </c>
      <c r="G25" s="15" t="n">
        <v>0</v>
      </c>
    </row>
    <row r="26">
      <c r="B26" s="16" t="inlineStr">
        <is>
          <t>Total Repaid ($M)</t>
        </is>
      </c>
      <c r="C26" s="18" t="n">
        <v>49</v>
      </c>
      <c r="D26" s="18" t="n">
        <v>361</v>
      </c>
      <c r="E26" s="18" t="n">
        <v>90</v>
      </c>
      <c r="F26" s="18" t="n">
        <v>0</v>
      </c>
      <c r="G26" s="18" t="n">
        <v>0</v>
      </c>
    </row>
    <row r="27">
      <c r="B27" s="14" t="inlineStr">
        <is>
          <t>Ending Balance ($M)</t>
        </is>
      </c>
      <c r="C27" s="15">
        <f>C23-C24-C25</f>
        <v/>
      </c>
      <c r="D27" s="15">
        <f>D23-D24-D25</f>
        <v/>
      </c>
      <c r="E27" s="15">
        <f>E23-E24-E25</f>
        <v/>
      </c>
      <c r="F27" s="15">
        <f>F23-F24-F25</f>
        <v/>
      </c>
      <c r="G27" s="15">
        <f>G23-G24-G25</f>
        <v/>
      </c>
    </row>
    <row r="28">
      <c r="B28" s="16" t="inlineStr">
        <is>
          <t>Rate</t>
        </is>
      </c>
      <c r="C28" s="51" t="inlineStr">
        <is>
          <t>7.80%</t>
        </is>
      </c>
      <c r="D28" s="51" t="inlineStr">
        <is>
          <t>7.80%</t>
        </is>
      </c>
      <c r="E28" s="51" t="inlineStr">
        <is>
          <t>7.80%</t>
        </is>
      </c>
      <c r="F28" s="51" t="inlineStr">
        <is>
          <t>7.80%</t>
        </is>
      </c>
      <c r="G28" s="51" t="inlineStr">
        <is>
          <t>7.80%</t>
        </is>
      </c>
    </row>
    <row r="29">
      <c r="B29" s="14" t="inlineStr">
        <is>
          <t>Interest Expense ($M)</t>
        </is>
      </c>
      <c r="C29" s="15" t="n">
        <v>37.1</v>
      </c>
      <c r="D29" s="15" t="n">
        <v>21.1</v>
      </c>
      <c r="E29" s="15" t="n">
        <v>3.5</v>
      </c>
      <c r="F29" s="15" t="n">
        <v>0</v>
      </c>
      <c r="G29" s="15" t="n">
        <v>0</v>
      </c>
    </row>
    <row r="30">
      <c r="B30" s="16" t="inlineStr">
        <is>
          <t>DFF Amort ($M)</t>
        </is>
      </c>
      <c r="C30" s="18" t="n">
        <v>0.5</v>
      </c>
      <c r="D30" s="18" t="n">
        <v>0.5</v>
      </c>
      <c r="E30" s="18" t="n">
        <v>0.5</v>
      </c>
      <c r="F30" s="18" t="n">
        <v>0.5</v>
      </c>
      <c r="G30" s="18" t="n">
        <v>0.5</v>
      </c>
    </row>
    <row r="32">
      <c r="B32" s="3" t="inlineStr">
        <is>
          <t>TRANCHE: TERM LOAN A</t>
        </is>
      </c>
      <c r="C32" s="4" t="n"/>
      <c r="D32" s="4" t="n"/>
      <c r="E32" s="4" t="n"/>
      <c r="F32" s="5" t="n"/>
    </row>
    <row r="33">
      <c r="B33" s="29" t="inlineStr">
        <is>
          <t>Item</t>
        </is>
      </c>
      <c r="C33" s="30" t="inlineStr">
        <is>
          <t>Year 1</t>
        </is>
      </c>
      <c r="D33" s="30" t="inlineStr">
        <is>
          <t>Year 2</t>
        </is>
      </c>
      <c r="E33" s="30" t="inlineStr">
        <is>
          <t>Year 3</t>
        </is>
      </c>
      <c r="F33" s="30" t="inlineStr">
        <is>
          <t>Year 4</t>
        </is>
      </c>
      <c r="G33" s="30" t="inlineStr">
        <is>
          <t>Year 5</t>
        </is>
      </c>
    </row>
    <row r="34">
      <c r="B34" s="14" t="inlineStr">
        <is>
          <t>Beginning Balance ($M)</t>
        </is>
      </c>
      <c r="C34" s="15" t="n">
        <v>4000</v>
      </c>
      <c r="D34" s="15" t="n">
        <v>3800</v>
      </c>
      <c r="E34" s="15" t="n">
        <v>3600</v>
      </c>
      <c r="F34" s="15" t="n">
        <v>2761.8</v>
      </c>
      <c r="G34" s="15" t="n">
        <v>1402.3</v>
      </c>
    </row>
    <row r="35">
      <c r="B35" s="16" t="inlineStr">
        <is>
          <t>Required Amort ($M)</t>
        </is>
      </c>
      <c r="C35" s="18" t="n">
        <v>200</v>
      </c>
      <c r="D35" s="18" t="n">
        <v>200</v>
      </c>
      <c r="E35" s="18" t="n">
        <v>200</v>
      </c>
      <c r="F35" s="18" t="n">
        <v>200</v>
      </c>
      <c r="G35" s="18" t="n">
        <v>200</v>
      </c>
    </row>
    <row r="36">
      <c r="B36" s="14" t="inlineStr">
        <is>
          <t>Cash Sweep ($M)</t>
        </is>
      </c>
      <c r="C36" s="15" t="n">
        <v>0</v>
      </c>
      <c r="D36" s="15" t="n">
        <v>0</v>
      </c>
      <c r="E36" s="15" t="n">
        <v>638.2</v>
      </c>
      <c r="F36" s="15" t="n">
        <v>1159.5</v>
      </c>
      <c r="G36" s="15" t="n">
        <v>1202.3</v>
      </c>
    </row>
    <row r="37">
      <c r="B37" s="16" t="inlineStr">
        <is>
          <t>Total Repaid ($M)</t>
        </is>
      </c>
      <c r="C37" s="18" t="n">
        <v>200</v>
      </c>
      <c r="D37" s="18" t="n">
        <v>200</v>
      </c>
      <c r="E37" s="18" t="n">
        <v>838.2</v>
      </c>
      <c r="F37" s="18" t="n">
        <v>1359.5</v>
      </c>
      <c r="G37" s="18" t="n">
        <v>1402.3</v>
      </c>
    </row>
    <row r="38">
      <c r="B38" s="14" t="inlineStr">
        <is>
          <t>Ending Balance ($M)</t>
        </is>
      </c>
      <c r="C38" s="15">
        <f>C34-C35-C36</f>
        <v/>
      </c>
      <c r="D38" s="15">
        <f>D34-D35-D36</f>
        <v/>
      </c>
      <c r="E38" s="15">
        <f>E34-E35-E36</f>
        <v/>
      </c>
      <c r="F38" s="15">
        <f>F34-F35-F36</f>
        <v/>
      </c>
      <c r="G38" s="15">
        <f>G34-G35-G36</f>
        <v/>
      </c>
    </row>
    <row r="39">
      <c r="B39" s="16" t="inlineStr">
        <is>
          <t>Rate</t>
        </is>
      </c>
      <c r="C39" s="51" t="inlineStr">
        <is>
          <t>8.05%</t>
        </is>
      </c>
      <c r="D39" s="51" t="inlineStr">
        <is>
          <t>8.05%</t>
        </is>
      </c>
      <c r="E39" s="51" t="inlineStr">
        <is>
          <t>8.05%</t>
        </is>
      </c>
      <c r="F39" s="51" t="inlineStr">
        <is>
          <t>8.05%</t>
        </is>
      </c>
      <c r="G39" s="51" t="inlineStr">
        <is>
          <t>8.05%</t>
        </is>
      </c>
    </row>
    <row r="40">
      <c r="B40" s="14" t="inlineStr">
        <is>
          <t>Interest Expense ($M)</t>
        </is>
      </c>
      <c r="C40" s="15" t="n">
        <v>313.9</v>
      </c>
      <c r="D40" s="15" t="n">
        <v>297.9</v>
      </c>
      <c r="E40" s="15" t="n">
        <v>256.1</v>
      </c>
      <c r="F40" s="15" t="n">
        <v>167.6</v>
      </c>
      <c r="G40" s="15" t="n">
        <v>56.4</v>
      </c>
    </row>
    <row r="41">
      <c r="B41" s="16" t="inlineStr">
        <is>
          <t>DFF Amort ($M)</t>
        </is>
      </c>
      <c r="C41" s="18" t="n">
        <v>8</v>
      </c>
      <c r="D41" s="18" t="n">
        <v>8</v>
      </c>
      <c r="E41" s="18" t="n">
        <v>8</v>
      </c>
      <c r="F41" s="18" t="n">
        <v>8</v>
      </c>
      <c r="G41" s="18" t="n">
        <v>8</v>
      </c>
    </row>
    <row r="43">
      <c r="B43" s="3" t="inlineStr">
        <is>
          <t>TRANCHE: TERM LOAN B</t>
        </is>
      </c>
      <c r="C43" s="4" t="n"/>
      <c r="D43" s="4" t="n"/>
      <c r="E43" s="4" t="n"/>
      <c r="F43" s="5" t="n"/>
    </row>
    <row r="44">
      <c r="B44" s="29" t="inlineStr">
        <is>
          <t>Item</t>
        </is>
      </c>
      <c r="C44" s="30" t="inlineStr">
        <is>
          <t>Year 1</t>
        </is>
      </c>
      <c r="D44" s="30" t="inlineStr">
        <is>
          <t>Year 2</t>
        </is>
      </c>
      <c r="E44" s="30" t="inlineStr">
        <is>
          <t>Year 3</t>
        </is>
      </c>
      <c r="F44" s="30" t="inlineStr">
        <is>
          <t>Year 4</t>
        </is>
      </c>
      <c r="G44" s="30" t="inlineStr">
        <is>
          <t>Year 5</t>
        </is>
      </c>
    </row>
    <row r="45">
      <c r="B45" s="14" t="inlineStr">
        <is>
          <t>Beginning Balance ($M)</t>
        </is>
      </c>
      <c r="C45" s="15" t="n">
        <v>8000</v>
      </c>
      <c r="D45" s="15" t="n">
        <v>7920</v>
      </c>
      <c r="E45" s="15" t="n">
        <v>7840</v>
      </c>
      <c r="F45" s="15" t="n">
        <v>7760</v>
      </c>
      <c r="G45" s="15" t="n">
        <v>7680</v>
      </c>
    </row>
    <row r="46">
      <c r="B46" s="16" t="inlineStr">
        <is>
          <t>Required Amort ($M)</t>
        </is>
      </c>
      <c r="C46" s="18" t="n">
        <v>80</v>
      </c>
      <c r="D46" s="18" t="n">
        <v>80</v>
      </c>
      <c r="E46" s="18" t="n">
        <v>80</v>
      </c>
      <c r="F46" s="18" t="n">
        <v>80</v>
      </c>
      <c r="G46" s="18" t="n">
        <v>80</v>
      </c>
    </row>
    <row r="47">
      <c r="B47" s="14" t="inlineStr">
        <is>
          <t>Cash Sweep ($M)</t>
        </is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468.3</v>
      </c>
    </row>
    <row r="48">
      <c r="B48" s="16" t="inlineStr">
        <is>
          <t>Total Repaid ($M)</t>
        </is>
      </c>
      <c r="C48" s="18" t="n">
        <v>80</v>
      </c>
      <c r="D48" s="18" t="n">
        <v>80</v>
      </c>
      <c r="E48" s="18" t="n">
        <v>80</v>
      </c>
      <c r="F48" s="18" t="n">
        <v>80</v>
      </c>
      <c r="G48" s="18" t="n">
        <v>548.3</v>
      </c>
    </row>
    <row r="49">
      <c r="B49" s="14" t="inlineStr">
        <is>
          <t>Ending Balance ($M)</t>
        </is>
      </c>
      <c r="C49" s="15">
        <f>C45-C46-C47</f>
        <v/>
      </c>
      <c r="D49" s="15">
        <f>D45-D46-D47</f>
        <v/>
      </c>
      <c r="E49" s="15">
        <f>E45-E46-E47</f>
        <v/>
      </c>
      <c r="F49" s="15">
        <f>F45-F46-F47</f>
        <v/>
      </c>
      <c r="G49" s="15">
        <f>G45-G46-G47</f>
        <v/>
      </c>
    </row>
    <row r="50">
      <c r="B50" s="16" t="inlineStr">
        <is>
          <t>Rate</t>
        </is>
      </c>
      <c r="C50" s="51" t="inlineStr">
        <is>
          <t>9.30%</t>
        </is>
      </c>
      <c r="D50" s="51" t="inlineStr">
        <is>
          <t>9.30%</t>
        </is>
      </c>
      <c r="E50" s="51" t="inlineStr">
        <is>
          <t>9.30%</t>
        </is>
      </c>
      <c r="F50" s="51" t="inlineStr">
        <is>
          <t>9.30%</t>
        </is>
      </c>
      <c r="G50" s="51" t="inlineStr">
        <is>
          <t>9.30%</t>
        </is>
      </c>
    </row>
    <row r="51">
      <c r="B51" s="14" t="inlineStr">
        <is>
          <t>Interest Expense ($M)</t>
        </is>
      </c>
      <c r="C51" s="15" t="n">
        <v>740.3</v>
      </c>
      <c r="D51" s="15" t="n">
        <v>732.8</v>
      </c>
      <c r="E51" s="15" t="n">
        <v>725.4</v>
      </c>
      <c r="F51" s="15" t="n">
        <v>718</v>
      </c>
      <c r="G51" s="15" t="n">
        <v>688.7</v>
      </c>
    </row>
    <row r="52">
      <c r="B52" s="16" t="inlineStr">
        <is>
          <t>DFF Amort ($M)</t>
        </is>
      </c>
      <c r="C52" s="18" t="n">
        <v>22.9</v>
      </c>
      <c r="D52" s="18" t="n">
        <v>22.9</v>
      </c>
      <c r="E52" s="18" t="n">
        <v>22.9</v>
      </c>
      <c r="F52" s="18" t="n">
        <v>22.9</v>
      </c>
      <c r="G52" s="18" t="n">
        <v>22.9</v>
      </c>
    </row>
    <row r="54">
      <c r="B54" s="3" t="inlineStr">
        <is>
          <t>TRANCHE: SENIOR SECURED NOTES</t>
        </is>
      </c>
      <c r="C54" s="4" t="n"/>
      <c r="D54" s="4" t="n"/>
      <c r="E54" s="4" t="n"/>
      <c r="F54" s="5" t="n"/>
    </row>
    <row r="55">
      <c r="B55" s="29" t="inlineStr">
        <is>
          <t>Item</t>
        </is>
      </c>
      <c r="C55" s="30" t="inlineStr">
        <is>
          <t>Year 1</t>
        </is>
      </c>
      <c r="D55" s="30" t="inlineStr">
        <is>
          <t>Year 2</t>
        </is>
      </c>
      <c r="E55" s="30" t="inlineStr">
        <is>
          <t>Year 3</t>
        </is>
      </c>
      <c r="F55" s="30" t="inlineStr">
        <is>
          <t>Year 4</t>
        </is>
      </c>
      <c r="G55" s="30" t="inlineStr">
        <is>
          <t>Year 5</t>
        </is>
      </c>
    </row>
    <row r="56">
      <c r="B56" s="14" t="inlineStr">
        <is>
          <t>Beginning Balance ($M)</t>
        </is>
      </c>
      <c r="C56" s="15" t="n">
        <v>5000</v>
      </c>
      <c r="D56" s="15" t="n">
        <v>5000</v>
      </c>
      <c r="E56" s="15" t="n">
        <v>5000</v>
      </c>
      <c r="F56" s="15" t="n">
        <v>5000</v>
      </c>
      <c r="G56" s="15" t="n">
        <v>5000</v>
      </c>
    </row>
    <row r="57">
      <c r="B57" s="16" t="inlineStr">
        <is>
          <t>Required Amort ($M)</t>
        </is>
      </c>
      <c r="C57" s="18" t="n">
        <v>0</v>
      </c>
      <c r="D57" s="18" t="n">
        <v>0</v>
      </c>
      <c r="E57" s="18" t="n">
        <v>0</v>
      </c>
      <c r="F57" s="18" t="n">
        <v>0</v>
      </c>
      <c r="G57" s="18" t="n">
        <v>0</v>
      </c>
    </row>
    <row r="58">
      <c r="B58" s="14" t="inlineStr">
        <is>
          <t>Cash Sweep ($M)</t>
        </is>
      </c>
      <c r="C58" s="15" t="n">
        <v>0</v>
      </c>
      <c r="D58" s="15" t="n">
        <v>0</v>
      </c>
      <c r="E58" s="15" t="n">
        <v>0</v>
      </c>
      <c r="F58" s="15" t="n">
        <v>0</v>
      </c>
      <c r="G58" s="15" t="n">
        <v>0</v>
      </c>
    </row>
    <row r="59">
      <c r="B59" s="16" t="inlineStr">
        <is>
          <t>Total Repaid ($M)</t>
        </is>
      </c>
      <c r="C59" s="18" t="n">
        <v>0</v>
      </c>
      <c r="D59" s="18" t="n">
        <v>0</v>
      </c>
      <c r="E59" s="18" t="n">
        <v>0</v>
      </c>
      <c r="F59" s="18" t="n">
        <v>0</v>
      </c>
      <c r="G59" s="18" t="n">
        <v>0</v>
      </c>
    </row>
    <row r="60">
      <c r="B60" s="14" t="inlineStr">
        <is>
          <t>Ending Balance ($M)</t>
        </is>
      </c>
      <c r="C60" s="15">
        <f>C56-C57-C58</f>
        <v/>
      </c>
      <c r="D60" s="15">
        <f>D56-D57-D58</f>
        <v/>
      </c>
      <c r="E60" s="15">
        <f>E56-E57-E58</f>
        <v/>
      </c>
      <c r="F60" s="15">
        <f>F56-F57-F58</f>
        <v/>
      </c>
      <c r="G60" s="15">
        <f>G56-G57-G58</f>
        <v/>
      </c>
    </row>
    <row r="61">
      <c r="B61" s="16" t="inlineStr">
        <is>
          <t>Rate</t>
        </is>
      </c>
      <c r="C61" s="51" t="inlineStr">
        <is>
          <t>7.25%</t>
        </is>
      </c>
      <c r="D61" s="51" t="inlineStr">
        <is>
          <t>7.25%</t>
        </is>
      </c>
      <c r="E61" s="51" t="inlineStr">
        <is>
          <t>7.25%</t>
        </is>
      </c>
      <c r="F61" s="51" t="inlineStr">
        <is>
          <t>7.25%</t>
        </is>
      </c>
      <c r="G61" s="51" t="inlineStr">
        <is>
          <t>7.25%</t>
        </is>
      </c>
    </row>
    <row r="62">
      <c r="B62" s="14" t="inlineStr">
        <is>
          <t>Interest Expense ($M)</t>
        </is>
      </c>
      <c r="C62" s="15" t="n">
        <v>362.5</v>
      </c>
      <c r="D62" s="15" t="n">
        <v>362.5</v>
      </c>
      <c r="E62" s="15" t="n">
        <v>362.5</v>
      </c>
      <c r="F62" s="15" t="n">
        <v>362.5</v>
      </c>
      <c r="G62" s="15" t="n">
        <v>362.5</v>
      </c>
    </row>
    <row r="63">
      <c r="B63" s="16" t="inlineStr">
        <is>
          <t>DFF Amort ($M)</t>
        </is>
      </c>
      <c r="C63" s="18" t="n">
        <v>9.4</v>
      </c>
      <c r="D63" s="18" t="n">
        <v>9.4</v>
      </c>
      <c r="E63" s="18" t="n">
        <v>9.4</v>
      </c>
      <c r="F63" s="18" t="n">
        <v>9.4</v>
      </c>
      <c r="G63" s="18" t="n">
        <v>9.4</v>
      </c>
    </row>
    <row r="65">
      <c r="B65" s="3" t="inlineStr">
        <is>
          <t>TRANCHE: HIGH YIELD NOTES</t>
        </is>
      </c>
      <c r="C65" s="4" t="n"/>
      <c r="D65" s="4" t="n"/>
      <c r="E65" s="4" t="n"/>
      <c r="F65" s="5" t="n"/>
    </row>
    <row r="66">
      <c r="B66" s="29" t="inlineStr">
        <is>
          <t>Item</t>
        </is>
      </c>
      <c r="C66" s="30" t="inlineStr">
        <is>
          <t>Year 1</t>
        </is>
      </c>
      <c r="D66" s="30" t="inlineStr">
        <is>
          <t>Year 2</t>
        </is>
      </c>
      <c r="E66" s="30" t="inlineStr">
        <is>
          <t>Year 3</t>
        </is>
      </c>
      <c r="F66" s="30" t="inlineStr">
        <is>
          <t>Year 4</t>
        </is>
      </c>
      <c r="G66" s="30" t="inlineStr">
        <is>
          <t>Year 5</t>
        </is>
      </c>
    </row>
    <row r="67">
      <c r="B67" s="14" t="inlineStr">
        <is>
          <t>Beginning Balance ($M)</t>
        </is>
      </c>
      <c r="C67" s="15" t="n">
        <v>3500</v>
      </c>
      <c r="D67" s="15" t="n">
        <v>3500</v>
      </c>
      <c r="E67" s="15" t="n">
        <v>3500</v>
      </c>
      <c r="F67" s="15" t="n">
        <v>3500</v>
      </c>
      <c r="G67" s="15" t="n">
        <v>3500</v>
      </c>
    </row>
    <row r="68">
      <c r="B68" s="16" t="inlineStr">
        <is>
          <t>Required Amort ($M)</t>
        </is>
      </c>
      <c r="C68" s="18" t="n">
        <v>0</v>
      </c>
      <c r="D68" s="18" t="n">
        <v>0</v>
      </c>
      <c r="E68" s="18" t="n">
        <v>0</v>
      </c>
      <c r="F68" s="18" t="n">
        <v>0</v>
      </c>
      <c r="G68" s="18" t="n">
        <v>0</v>
      </c>
    </row>
    <row r="69">
      <c r="B69" s="14" t="inlineStr">
        <is>
          <t>Cash Sweep ($M)</t>
        </is>
      </c>
      <c r="C69" s="15" t="n">
        <v>0</v>
      </c>
      <c r="D69" s="15" t="n">
        <v>0</v>
      </c>
      <c r="E69" s="15" t="n">
        <v>0</v>
      </c>
      <c r="F69" s="15" t="n">
        <v>0</v>
      </c>
      <c r="G69" s="15" t="n">
        <v>0</v>
      </c>
    </row>
    <row r="70">
      <c r="B70" s="16" t="inlineStr">
        <is>
          <t>Total Repaid ($M)</t>
        </is>
      </c>
      <c r="C70" s="18" t="n">
        <v>0</v>
      </c>
      <c r="D70" s="18" t="n">
        <v>0</v>
      </c>
      <c r="E70" s="18" t="n">
        <v>0</v>
      </c>
      <c r="F70" s="18" t="n">
        <v>0</v>
      </c>
      <c r="G70" s="18" t="n">
        <v>0</v>
      </c>
    </row>
    <row r="71">
      <c r="B71" s="14" t="inlineStr">
        <is>
          <t>Ending Balance ($M)</t>
        </is>
      </c>
      <c r="C71" s="15">
        <f>C67-C68-C69</f>
        <v/>
      </c>
      <c r="D71" s="15">
        <f>D67-D68-D69</f>
        <v/>
      </c>
      <c r="E71" s="15">
        <f>E67-E68-E69</f>
        <v/>
      </c>
      <c r="F71" s="15">
        <f>F67-F68-F69</f>
        <v/>
      </c>
      <c r="G71" s="15">
        <f>G67-G68-G69</f>
        <v/>
      </c>
    </row>
    <row r="72">
      <c r="B72" s="16" t="inlineStr">
        <is>
          <t>Rate</t>
        </is>
      </c>
      <c r="C72" s="51" t="inlineStr">
        <is>
          <t>9.00%</t>
        </is>
      </c>
      <c r="D72" s="51" t="inlineStr">
        <is>
          <t>9.00%</t>
        </is>
      </c>
      <c r="E72" s="51" t="inlineStr">
        <is>
          <t>9.00%</t>
        </is>
      </c>
      <c r="F72" s="51" t="inlineStr">
        <is>
          <t>9.00%</t>
        </is>
      </c>
      <c r="G72" s="51" t="inlineStr">
        <is>
          <t>9.00%</t>
        </is>
      </c>
    </row>
    <row r="73">
      <c r="B73" s="14" t="inlineStr">
        <is>
          <t>Interest Expense ($M)</t>
        </is>
      </c>
      <c r="C73" s="15" t="n">
        <v>315</v>
      </c>
      <c r="D73" s="15" t="n">
        <v>315</v>
      </c>
      <c r="E73" s="15" t="n">
        <v>315</v>
      </c>
      <c r="F73" s="15" t="n">
        <v>315</v>
      </c>
      <c r="G73" s="15" t="n">
        <v>315</v>
      </c>
    </row>
    <row r="74">
      <c r="B74" s="16" t="inlineStr">
        <is>
          <t>DFF Amort ($M)</t>
        </is>
      </c>
      <c r="C74" s="18" t="n">
        <v>7</v>
      </c>
      <c r="D74" s="18" t="n">
        <v>7</v>
      </c>
      <c r="E74" s="18" t="n">
        <v>7</v>
      </c>
      <c r="F74" s="18" t="n">
        <v>7</v>
      </c>
      <c r="G74" s="18" t="n">
        <v>7</v>
      </c>
    </row>
  </sheetData>
  <mergeCells count="7">
    <mergeCell ref="B21:F21"/>
    <mergeCell ref="B65:F65"/>
    <mergeCell ref="B43:F43"/>
    <mergeCell ref="B54:F54"/>
    <mergeCell ref="B3:F3"/>
    <mergeCell ref="B1:G1"/>
    <mergeCell ref="B32:F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2" customWidth="1" min="4" max="4"/>
    <col width="22" customWidth="1" min="5" max="5"/>
  </cols>
  <sheetData>
    <row r="1" ht="22" customHeight="1">
      <c r="B1" s="13" t="inlineStr">
        <is>
          <t>RETURNS ANALYSIS &amp; VALUE ATTRIBUTION  ($M)</t>
        </is>
      </c>
    </row>
    <row r="3">
      <c r="B3" s="3" t="inlineStr">
        <is>
          <t>RETURNS SUMMARY</t>
        </is>
      </c>
      <c r="C3" s="4" t="n"/>
      <c r="D3" s="5" t="n"/>
    </row>
    <row r="4">
      <c r="B4" s="14" t="inlineStr">
        <is>
          <t>Equity Invested ($M)</t>
        </is>
      </c>
      <c r="C4" s="15" t="n">
        <v>17243.6</v>
      </c>
      <c r="D4" s="8" t="n"/>
    </row>
    <row r="5">
      <c r="B5" s="16" t="inlineStr">
        <is>
          <t>Exit Equity ($M)</t>
        </is>
      </c>
      <c r="C5" s="18" t="n">
        <v>42997.2</v>
      </c>
      <c r="D5" s="11" t="n"/>
    </row>
    <row r="6">
      <c r="B6" s="6" t="inlineStr">
        <is>
          <t>IRR</t>
        </is>
      </c>
      <c r="C6" s="52" t="n">
        <v>0.2005008634989164</v>
      </c>
      <c r="D6" s="8" t="n"/>
    </row>
    <row r="7">
      <c r="B7" s="9" t="inlineStr">
        <is>
          <t>MOIC</t>
        </is>
      </c>
      <c r="C7" s="53" t="n">
        <v>2.493517285167289</v>
      </c>
      <c r="D7" s="11" t="n"/>
    </row>
    <row r="8">
      <c r="B8" s="14" t="inlineStr">
        <is>
          <t>Hold Period (years)</t>
        </is>
      </c>
      <c r="C8" s="26" t="n">
        <v>5</v>
      </c>
      <c r="D8" s="8" t="n"/>
    </row>
    <row r="9">
      <c r="B9" s="16" t="inlineStr">
        <is>
          <t>Entry EV ($M)</t>
        </is>
      </c>
      <c r="C9" s="18" t="n">
        <v>37107</v>
      </c>
      <c r="D9" s="11" t="n"/>
    </row>
    <row r="10">
      <c r="B10" s="14" t="inlineStr">
        <is>
          <t>Entry EV/EBITDA (x)</t>
        </is>
      </c>
      <c r="C10" s="21" t="n">
        <v>10.5</v>
      </c>
      <c r="D10" s="8" t="n"/>
    </row>
    <row r="11">
      <c r="B11" s="16" t="inlineStr">
        <is>
          <t>Entry EBITDA ($M)</t>
        </is>
      </c>
      <c r="C11" s="18" t="n">
        <v>3534</v>
      </c>
      <c r="D11" s="11" t="n"/>
    </row>
    <row r="12">
      <c r="B12" s="14" t="inlineStr">
        <is>
          <t>Entry Net Debt ($M)</t>
        </is>
      </c>
      <c r="C12" s="15" t="n">
        <v>20700</v>
      </c>
      <c r="D12" s="8" t="n"/>
    </row>
    <row r="13">
      <c r="B13" s="16" t="inlineStr">
        <is>
          <t>Exit EV ($M)</t>
        </is>
      </c>
      <c r="C13" s="18" t="n">
        <v>58628.8</v>
      </c>
      <c r="D13" s="11" t="n"/>
    </row>
    <row r="14">
      <c r="B14" s="14" t="inlineStr">
        <is>
          <t>Exit EV/EBITDA (x)</t>
        </is>
      </c>
      <c r="C14" s="21" t="n">
        <v>10.5</v>
      </c>
      <c r="D14" s="8" t="n"/>
    </row>
    <row r="15">
      <c r="B15" s="16" t="inlineStr">
        <is>
          <t>Exit EBITDA ($M)</t>
        </is>
      </c>
      <c r="C15" s="18" t="n">
        <v>5583.7</v>
      </c>
      <c r="D15" s="11" t="n"/>
    </row>
    <row r="16">
      <c r="B16" s="14" t="inlineStr">
        <is>
          <t>Exit Net Debt ($M)</t>
        </is>
      </c>
      <c r="C16" s="15" t="n">
        <v>15631.7</v>
      </c>
      <c r="D16" s="8" t="n"/>
    </row>
    <row r="18">
      <c r="B18" s="3" t="inlineStr">
        <is>
          <t>VALUE CREATION BRIDGE  ($M)</t>
        </is>
      </c>
      <c r="C18" s="4" t="n"/>
      <c r="D18" s="5" t="n"/>
    </row>
    <row r="19">
      <c r="B19" s="29" t="inlineStr">
        <is>
          <t>Entry Equity Value ($M)</t>
        </is>
      </c>
      <c r="C19" s="31" t="n">
        <v>16407</v>
      </c>
      <c r="D19" s="54" t="n"/>
    </row>
    <row r="20">
      <c r="B20" s="16" t="inlineStr">
        <is>
          <t xml:space="preserve">  (+) EBITDA Growth</t>
        </is>
      </c>
      <c r="C20" s="18" t="n">
        <v>21521.8</v>
      </c>
      <c r="D20" s="11" t="n"/>
    </row>
    <row r="21">
      <c r="B21" s="14" t="inlineStr">
        <is>
          <t xml:space="preserve">  (+) Multiple Expansion / (Contraction)</t>
        </is>
      </c>
      <c r="C21" s="15" t="n">
        <v>0</v>
      </c>
      <c r="D21" s="8" t="n"/>
    </row>
    <row r="22">
      <c r="B22" s="16" t="inlineStr">
        <is>
          <t xml:space="preserve">  (+) Debt Paydown (Deleveraging)</t>
        </is>
      </c>
      <c r="C22" s="18" t="n">
        <v>5068.3</v>
      </c>
      <c r="D22" s="11" t="n"/>
    </row>
    <row r="23">
      <c r="B23" s="29" t="inlineStr">
        <is>
          <t>Total Value Creation ($M)</t>
        </is>
      </c>
      <c r="C23" s="31">
        <f>C20+C21+C22</f>
        <v/>
      </c>
      <c r="D23" s="54" t="n"/>
    </row>
    <row r="24">
      <c r="B24" s="29" t="inlineStr">
        <is>
          <t>Exit Equity Value ($M)</t>
        </is>
      </c>
      <c r="C24" s="31">
        <f>C19+C23</f>
        <v/>
      </c>
      <c r="D24" s="54" t="n"/>
    </row>
    <row r="26">
      <c r="B26" s="3" t="inlineStr">
        <is>
          <t>CASH FLOW TO EQUITY  ($M)</t>
        </is>
      </c>
      <c r="C26" s="4" t="n"/>
      <c r="D26" s="5" t="n"/>
    </row>
    <row r="27">
      <c r="B27" s="29" t="inlineStr">
        <is>
          <t>Year</t>
        </is>
      </c>
      <c r="C27" s="30" t="inlineStr">
        <is>
          <t>Cash Flow ($M)</t>
        </is>
      </c>
    </row>
    <row r="28">
      <c r="B28" s="6" t="inlineStr">
        <is>
          <t>Year 0 (Equity In)</t>
        </is>
      </c>
      <c r="C28" s="45" t="n">
        <v>-17243.6</v>
      </c>
    </row>
    <row r="29">
      <c r="B29" s="16" t="inlineStr">
        <is>
          <t>Year 1</t>
        </is>
      </c>
      <c r="C29" s="18" t="n">
        <v>0</v>
      </c>
    </row>
    <row r="30">
      <c r="B30" s="14" t="inlineStr">
        <is>
          <t>Year 2</t>
        </is>
      </c>
      <c r="C30" s="15" t="n">
        <v>0</v>
      </c>
    </row>
    <row r="31">
      <c r="B31" s="16" t="inlineStr">
        <is>
          <t>Year 3</t>
        </is>
      </c>
      <c r="C31" s="18" t="n">
        <v>0</v>
      </c>
    </row>
    <row r="32">
      <c r="B32" s="14" t="inlineStr">
        <is>
          <t>Year 4</t>
        </is>
      </c>
      <c r="C32" s="15" t="n">
        <v>0</v>
      </c>
    </row>
    <row r="33">
      <c r="B33" s="29" t="inlineStr">
        <is>
          <t>Year 5 (Exit)</t>
        </is>
      </c>
      <c r="C33" s="31" t="n">
        <v>42997.2</v>
      </c>
    </row>
  </sheetData>
  <mergeCells count="23">
    <mergeCell ref="D20:E20"/>
    <mergeCell ref="D10:E10"/>
    <mergeCell ref="D19:E19"/>
    <mergeCell ref="D22:E22"/>
    <mergeCell ref="D21:E21"/>
    <mergeCell ref="D6:E6"/>
    <mergeCell ref="D11:E11"/>
    <mergeCell ref="D13:E13"/>
    <mergeCell ref="D16:E16"/>
    <mergeCell ref="D7:E7"/>
    <mergeCell ref="B26:D26"/>
    <mergeCell ref="D4:E4"/>
    <mergeCell ref="D9:E9"/>
    <mergeCell ref="D12:E12"/>
    <mergeCell ref="D8:E8"/>
    <mergeCell ref="B3:D3"/>
    <mergeCell ref="B1:E1"/>
    <mergeCell ref="D24:E24"/>
    <mergeCell ref="D15:E15"/>
    <mergeCell ref="D5:E5"/>
    <mergeCell ref="D23:E23"/>
    <mergeCell ref="B18:D18"/>
    <mergeCell ref="D14:E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B1" s="13" t="inlineStr">
        <is>
          <t>CREDIT METRICS &amp; COVENANT ANALYSIS</t>
        </is>
      </c>
    </row>
    <row r="3">
      <c r="B3" s="3" t="inlineStr">
        <is>
          <t>YEAR-BY-YEAR CREDIT METRICS</t>
        </is>
      </c>
      <c r="C3" s="4" t="n"/>
      <c r="D3" s="4" t="n"/>
      <c r="E3" s="4" t="n"/>
      <c r="F3" s="5" t="n"/>
    </row>
    <row r="4">
      <c r="B4" s="29" t="inlineStr">
        <is>
          <t>Metric</t>
        </is>
      </c>
      <c r="C4" s="30" t="inlineStr">
        <is>
          <t>Year 1</t>
        </is>
      </c>
      <c r="D4" s="30" t="inlineStr">
        <is>
          <t>Year 2</t>
        </is>
      </c>
      <c r="E4" s="30" t="inlineStr">
        <is>
          <t>Year 3</t>
        </is>
      </c>
      <c r="F4" s="30" t="inlineStr">
        <is>
          <t>Year 4</t>
        </is>
      </c>
      <c r="G4" s="30" t="inlineStr">
        <is>
          <t>Year 5</t>
        </is>
      </c>
    </row>
    <row r="5">
      <c r="B5" s="14" t="inlineStr">
        <is>
          <t>Revenue ($M)</t>
        </is>
      </c>
      <c r="C5" s="15" t="n">
        <v>39357.8</v>
      </c>
      <c r="D5" s="15" t="n">
        <v>41079.7</v>
      </c>
      <c r="E5" s="15" t="n">
        <v>43030.9</v>
      </c>
      <c r="F5" s="15" t="n">
        <v>45236.3</v>
      </c>
      <c r="G5" s="15" t="n">
        <v>47724.3</v>
      </c>
    </row>
    <row r="6">
      <c r="B6" s="16" t="inlineStr">
        <is>
          <t>EBITDA ($M)</t>
        </is>
      </c>
      <c r="C6" s="18" t="n">
        <v>3857.1</v>
      </c>
      <c r="D6" s="18" t="n">
        <v>4220.9</v>
      </c>
      <c r="E6" s="18" t="n">
        <v>4625.8</v>
      </c>
      <c r="F6" s="18" t="n">
        <v>5077.8</v>
      </c>
      <c r="G6" s="18" t="n">
        <v>5583.7</v>
      </c>
    </row>
    <row r="7">
      <c r="B7" s="14" t="inlineStr">
        <is>
          <t>EBITDA Margin</t>
        </is>
      </c>
      <c r="C7" s="27" t="n">
        <v>0.09800090452210235</v>
      </c>
      <c r="D7" s="27" t="n">
        <v>0.1027490463659666</v>
      </c>
      <c r="E7" s="27" t="n">
        <v>0.1074994945492658</v>
      </c>
      <c r="F7" s="27" t="n">
        <v>0.1122505598380062</v>
      </c>
      <c r="G7" s="27" t="n">
        <v>0.1169990968961305</v>
      </c>
    </row>
    <row r="8">
      <c r="B8" s="16" t="inlineStr">
        <is>
          <t>Total Debt ($M)</t>
        </is>
      </c>
      <c r="C8" s="18" t="n">
        <v>20671</v>
      </c>
      <c r="D8" s="18" t="n">
        <v>20030</v>
      </c>
      <c r="E8" s="18" t="n">
        <v>19021.8</v>
      </c>
      <c r="F8" s="18" t="n">
        <v>17582.3</v>
      </c>
      <c r="G8" s="18" t="n">
        <v>15631.7</v>
      </c>
    </row>
    <row r="9">
      <c r="B9" s="14" t="inlineStr">
        <is>
          <t>Net Debt ($M)</t>
        </is>
      </c>
      <c r="C9" s="15" t="n">
        <v>20371.1</v>
      </c>
      <c r="D9" s="15" t="n">
        <v>19826.3</v>
      </c>
      <c r="E9" s="15" t="n">
        <v>18922.3</v>
      </c>
      <c r="F9" s="15" t="n">
        <v>17582.3</v>
      </c>
      <c r="G9" s="15" t="n">
        <v>15631.7</v>
      </c>
    </row>
    <row r="10">
      <c r="B10" s="9" t="inlineStr">
        <is>
          <t>Gross Leverage (x)</t>
        </is>
      </c>
      <c r="C10" s="55" t="n">
        <v>5.36</v>
      </c>
      <c r="D10" s="55" t="n">
        <v>4.75</v>
      </c>
      <c r="E10" s="55" t="n">
        <v>4.11</v>
      </c>
      <c r="F10" s="55" t="n">
        <v>3.46</v>
      </c>
      <c r="G10" s="55" t="n">
        <v>2.8</v>
      </c>
    </row>
    <row r="11">
      <c r="B11" s="6" t="inlineStr">
        <is>
          <t>Net Leverage (x)</t>
        </is>
      </c>
      <c r="C11" s="49" t="n">
        <v>5.28</v>
      </c>
      <c r="D11" s="49" t="n">
        <v>4.7</v>
      </c>
      <c r="E11" s="49" t="n">
        <v>4.09</v>
      </c>
      <c r="F11" s="49" t="n">
        <v>3.46</v>
      </c>
      <c r="G11" s="49" t="n">
        <v>2.8</v>
      </c>
    </row>
    <row r="12">
      <c r="B12" s="16" t="inlineStr">
        <is>
          <t>Cash Interest ($M)</t>
        </is>
      </c>
      <c r="C12" s="18" t="n">
        <v>1768.8</v>
      </c>
      <c r="D12" s="18" t="n">
        <v>1729.3</v>
      </c>
      <c r="E12" s="18" t="n">
        <v>1662.5</v>
      </c>
      <c r="F12" s="18" t="n">
        <v>1563.1</v>
      </c>
      <c r="G12" s="18" t="n">
        <v>1422.7</v>
      </c>
    </row>
    <row r="13">
      <c r="B13" s="14" t="inlineStr">
        <is>
          <t>Interest Coverage (x)</t>
        </is>
      </c>
      <c r="C13" s="19" t="n">
        <v>2.18</v>
      </c>
      <c r="D13" s="19" t="n">
        <v>2.44</v>
      </c>
      <c r="E13" s="19" t="n">
        <v>2.78</v>
      </c>
      <c r="F13" s="19" t="n">
        <v>3.25</v>
      </c>
      <c r="G13" s="19" t="n">
        <v>3.92</v>
      </c>
    </row>
    <row r="14">
      <c r="B14" s="16" t="inlineStr">
        <is>
          <t>Fixed Charge Coverage (x)</t>
        </is>
      </c>
      <c r="C14" s="50" t="n">
        <v>1.88</v>
      </c>
      <c r="D14" s="50" t="n">
        <v>2.1</v>
      </c>
      <c r="E14" s="50" t="n">
        <v>2.38</v>
      </c>
      <c r="F14" s="50" t="n">
        <v>2.76</v>
      </c>
      <c r="G14" s="50" t="n">
        <v>3.28</v>
      </c>
    </row>
    <row r="15">
      <c r="B15" s="14" t="inlineStr">
        <is>
          <t>DSCR (x)</t>
        </is>
      </c>
      <c r="C15" s="19" t="n">
        <v>1.04</v>
      </c>
      <c r="D15" s="19" t="n">
        <v>1.22</v>
      </c>
      <c r="E15" s="19" t="n">
        <v>1.48</v>
      </c>
      <c r="F15" s="19" t="n">
        <v>1.84</v>
      </c>
      <c r="G15" s="19" t="n">
        <v>2.36</v>
      </c>
    </row>
    <row r="16">
      <c r="B16" s="16" t="inlineStr">
        <is>
          <t>Operating CF ($M)</t>
        </is>
      </c>
      <c r="C16" s="18" t="n">
        <v>1836.7</v>
      </c>
      <c r="D16" s="18" t="n">
        <v>2114.7</v>
      </c>
      <c r="E16" s="18" t="n">
        <v>2465</v>
      </c>
      <c r="F16" s="18" t="n">
        <v>2875.8</v>
      </c>
      <c r="G16" s="18" t="n">
        <v>3358.6</v>
      </c>
    </row>
    <row r="17">
      <c r="B17" s="6" t="inlineStr">
        <is>
          <t>Free Cash Flow ($M)</t>
        </is>
      </c>
      <c r="C17" s="45" t="n">
        <v>223</v>
      </c>
      <c r="D17" s="45" t="n">
        <v>492.1</v>
      </c>
      <c r="E17" s="45" t="n">
        <v>829.9</v>
      </c>
      <c r="F17" s="45" t="n">
        <v>1224.7</v>
      </c>
      <c r="G17" s="45" t="n">
        <v>1688.3</v>
      </c>
    </row>
    <row r="18">
      <c r="B18" s="16" t="inlineStr">
        <is>
          <t>FCF / EBITDA</t>
        </is>
      </c>
      <c r="C18" s="22" t="n">
        <v>0.0578154572087838</v>
      </c>
      <c r="D18" s="22" t="n">
        <v>0.1165865099860219</v>
      </c>
      <c r="E18" s="22" t="n">
        <v>0.1794068053093519</v>
      </c>
      <c r="F18" s="22" t="n">
        <v>0.2411871282839025</v>
      </c>
      <c r="G18" s="22" t="n">
        <v>0.3023622329279868</v>
      </c>
    </row>
    <row r="19">
      <c r="B19" s="14" t="inlineStr">
        <is>
          <t>CapEx / Revenue</t>
        </is>
      </c>
      <c r="C19" s="27" t="n">
        <v>0.04100076731931154</v>
      </c>
      <c r="D19" s="27" t="n">
        <v>0.03949882788822703</v>
      </c>
      <c r="E19" s="27" t="n">
        <v>0.03800059956914682</v>
      </c>
      <c r="F19" s="27" t="n">
        <v>0.03649944845179645</v>
      </c>
      <c r="G19" s="27" t="n">
        <v>0.03500103720746035</v>
      </c>
    </row>
    <row r="20">
      <c r="B20" s="16" t="inlineStr">
        <is>
          <t>Implied Rating</t>
        </is>
      </c>
      <c r="C20" s="51" t="inlineStr">
        <is>
          <t>BB/Ba2</t>
        </is>
      </c>
      <c r="D20" s="51" t="inlineStr">
        <is>
          <t>BB/Ba2</t>
        </is>
      </c>
      <c r="E20" s="51" t="inlineStr">
        <is>
          <t>BB+/Ba1</t>
        </is>
      </c>
      <c r="F20" s="51" t="inlineStr">
        <is>
          <t>BBB-/Baa3</t>
        </is>
      </c>
      <c r="G20" s="51" t="inlineStr">
        <is>
          <t>BBB/Baa2</t>
        </is>
      </c>
    </row>
    <row r="22">
      <c r="B22" s="3" t="inlineStr">
        <is>
          <t>COVENANT COMPLIANCE &amp; HEADROOM</t>
        </is>
      </c>
      <c r="C22" s="4" t="n"/>
      <c r="D22" s="4" t="n"/>
      <c r="E22" s="4" t="n"/>
      <c r="F22" s="5" t="n"/>
    </row>
    <row r="23">
      <c r="B23" s="29" t="inlineStr">
        <is>
          <t>Covenant Metric</t>
        </is>
      </c>
      <c r="C23" s="30" t="inlineStr">
        <is>
          <t>Year 1</t>
        </is>
      </c>
      <c r="D23" s="30" t="inlineStr">
        <is>
          <t>Year 2</t>
        </is>
      </c>
      <c r="E23" s="30" t="inlineStr">
        <is>
          <t>Year 3</t>
        </is>
      </c>
      <c r="F23" s="30" t="inlineStr">
        <is>
          <t>Year 4</t>
        </is>
      </c>
      <c r="G23" s="30" t="inlineStr">
        <is>
          <t>Year 5</t>
        </is>
      </c>
    </row>
    <row r="24">
      <c r="B24" s="14" t="inlineStr">
        <is>
          <t>Gross Leverage</t>
        </is>
      </c>
      <c r="C24" s="19" t="n">
        <v>5.36</v>
      </c>
      <c r="D24" s="19" t="n">
        <v>4.75</v>
      </c>
      <c r="E24" s="19" t="n">
        <v>4.11</v>
      </c>
      <c r="F24" s="19" t="n">
        <v>3.46</v>
      </c>
      <c r="G24" s="19" t="n">
        <v>2.8</v>
      </c>
    </row>
    <row r="25">
      <c r="B25" s="16" t="inlineStr">
        <is>
          <t>Max Leverage Covenant</t>
        </is>
      </c>
      <c r="C25" s="50" t="n">
        <v>6.5</v>
      </c>
      <c r="D25" s="50" t="n">
        <v>6</v>
      </c>
      <c r="E25" s="50" t="n">
        <v>5.5</v>
      </c>
      <c r="F25" s="50" t="n">
        <v>5</v>
      </c>
      <c r="G25" s="50" t="n">
        <v>4.5</v>
      </c>
    </row>
    <row r="26">
      <c r="B26" s="14" t="inlineStr">
        <is>
          <t>Leverage Headroom (x)</t>
        </is>
      </c>
      <c r="C26" s="19" t="n">
        <v>1.14</v>
      </c>
      <c r="D26" s="19" t="n">
        <v>1.25</v>
      </c>
      <c r="E26" s="19" t="n">
        <v>1.39</v>
      </c>
      <c r="F26" s="19" t="n">
        <v>1.54</v>
      </c>
      <c r="G26" s="19" t="n">
        <v>1.7</v>
      </c>
    </row>
    <row r="27">
      <c r="B27" s="9" t="inlineStr">
        <is>
          <t>In Compliance (Leverage)</t>
        </is>
      </c>
      <c r="C27" s="56" t="inlineStr">
        <is>
          <t>YES</t>
        </is>
      </c>
      <c r="D27" s="56" t="inlineStr">
        <is>
          <t>YES</t>
        </is>
      </c>
      <c r="E27" s="56" t="inlineStr">
        <is>
          <t>YES</t>
        </is>
      </c>
      <c r="F27" s="56" t="inlineStr">
        <is>
          <t>YES</t>
        </is>
      </c>
      <c r="G27" s="56" t="inlineStr">
        <is>
          <t>YES</t>
        </is>
      </c>
    </row>
    <row r="28">
      <c r="B28" s="14" t="inlineStr">
        <is>
          <t>Interest Coverage</t>
        </is>
      </c>
      <c r="C28" s="19" t="n">
        <v>2.18</v>
      </c>
      <c r="D28" s="19" t="n">
        <v>2.44</v>
      </c>
      <c r="E28" s="19" t="n">
        <v>2.78</v>
      </c>
      <c r="F28" s="19" t="n">
        <v>3.25</v>
      </c>
      <c r="G28" s="19" t="n">
        <v>3.92</v>
      </c>
    </row>
    <row r="29">
      <c r="B29" s="16" t="inlineStr">
        <is>
          <t>Min Coverage Covenant</t>
        </is>
      </c>
      <c r="C29" s="50" t="n">
        <v>2</v>
      </c>
      <c r="D29" s="50" t="n">
        <v>2</v>
      </c>
      <c r="E29" s="50" t="n">
        <v>2.25</v>
      </c>
      <c r="F29" s="50" t="n">
        <v>2.25</v>
      </c>
      <c r="G29" s="50" t="n">
        <v>2.5</v>
      </c>
    </row>
    <row r="30">
      <c r="B30" s="14" t="inlineStr">
        <is>
          <t>Coverage Headroom (x)</t>
        </is>
      </c>
      <c r="C30" s="19" t="n">
        <v>0.18</v>
      </c>
      <c r="D30" s="19" t="n">
        <v>0.44</v>
      </c>
      <c r="E30" s="19" t="n">
        <v>0.53</v>
      </c>
      <c r="F30" s="19" t="n">
        <v>1</v>
      </c>
      <c r="G30" s="19" t="n">
        <v>1.42</v>
      </c>
    </row>
    <row r="31">
      <c r="B31" s="9" t="inlineStr">
        <is>
          <t>In Compliance (Coverage)</t>
        </is>
      </c>
      <c r="C31" s="56" t="inlineStr">
        <is>
          <t>YES</t>
        </is>
      </c>
      <c r="D31" s="56" t="inlineStr">
        <is>
          <t>YES</t>
        </is>
      </c>
      <c r="E31" s="56" t="inlineStr">
        <is>
          <t>YES</t>
        </is>
      </c>
      <c r="F31" s="56" t="inlineStr">
        <is>
          <t>YES</t>
        </is>
      </c>
      <c r="G31" s="56" t="inlineStr">
        <is>
          <t>YES</t>
        </is>
      </c>
    </row>
  </sheetData>
  <mergeCells count="3">
    <mergeCell ref="B22:F22"/>
    <mergeCell ref="B3:F3"/>
    <mergeCell ref="B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M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20" customWidth="1" min="4" max="4"/>
    <col width="20" customWidth="1" min="5" max="5"/>
  </cols>
  <sheetData>
    <row r="1" ht="22" customHeight="1">
      <c r="B1" s="13" t="inlineStr">
        <is>
          <t>SCENARIO ANALYSIS — BULL / BASE / BEAR</t>
        </is>
      </c>
    </row>
    <row r="3">
      <c r="B3" s="3" t="inlineStr">
        <is>
          <t>RETURNS COMPARISON</t>
        </is>
      </c>
      <c r="C3" s="4" t="n"/>
      <c r="D3" s="4" t="n"/>
      <c r="E3" s="5" t="n"/>
    </row>
    <row r="4">
      <c r="B4" s="29" t="inlineStr">
        <is>
          <t>Metric</t>
        </is>
      </c>
      <c r="C4" s="57" t="inlineStr">
        <is>
          <t>Bear</t>
        </is>
      </c>
      <c r="D4" s="58" t="inlineStr">
        <is>
          <t>Base</t>
        </is>
      </c>
      <c r="E4" s="59" t="inlineStr">
        <is>
          <t>Bull</t>
        </is>
      </c>
    </row>
    <row r="5">
      <c r="B5" s="6" t="inlineStr">
        <is>
          <t>IRR</t>
        </is>
      </c>
      <c r="C5" s="60" t="inlineStr">
        <is>
          <t>4.7%</t>
        </is>
      </c>
      <c r="D5" s="60" t="inlineStr">
        <is>
          <t>20.1%</t>
        </is>
      </c>
      <c r="E5" s="60" t="inlineStr">
        <is>
          <t>31.2%</t>
        </is>
      </c>
    </row>
    <row r="6">
      <c r="B6" s="9" t="inlineStr">
        <is>
          <t>MOIC</t>
        </is>
      </c>
      <c r="C6" s="61" t="inlineStr">
        <is>
          <t>1.26x</t>
        </is>
      </c>
      <c r="D6" s="61" t="inlineStr">
        <is>
          <t>2.49x</t>
        </is>
      </c>
      <c r="E6" s="61" t="inlineStr">
        <is>
          <t>3.89x</t>
        </is>
      </c>
    </row>
    <row r="7">
      <c r="B7" s="14" t="inlineStr">
        <is>
          <t>Entry EV ($M)</t>
        </is>
      </c>
      <c r="C7" s="62" t="inlineStr">
        <is>
          <t>$37,107</t>
        </is>
      </c>
      <c r="D7" s="62" t="inlineStr">
        <is>
          <t>$37,107</t>
        </is>
      </c>
      <c r="E7" s="62" t="inlineStr">
        <is>
          <t>$37,107</t>
        </is>
      </c>
    </row>
    <row r="8">
      <c r="B8" s="16" t="inlineStr">
        <is>
          <t>Exit EV ($M)</t>
        </is>
      </c>
      <c r="C8" s="51" t="inlineStr">
        <is>
          <t>$39,968</t>
        </is>
      </c>
      <c r="D8" s="51" t="inlineStr">
        <is>
          <t>$58,629</t>
        </is>
      </c>
      <c r="E8" s="51" t="inlineStr">
        <is>
          <t>$79,945</t>
        </is>
      </c>
    </row>
    <row r="9">
      <c r="B9" s="14" t="inlineStr">
        <is>
          <t>Exit Equity ($M)</t>
        </is>
      </c>
      <c r="C9" s="62" t="inlineStr">
        <is>
          <t>$21,741</t>
        </is>
      </c>
      <c r="D9" s="62" t="inlineStr">
        <is>
          <t>$42,997</t>
        </is>
      </c>
      <c r="E9" s="62" t="inlineStr">
        <is>
          <t>$67,063</t>
        </is>
      </c>
    </row>
    <row r="10">
      <c r="B10" s="16" t="inlineStr">
        <is>
          <t>Equity Invested ($M)</t>
        </is>
      </c>
      <c r="C10" s="51" t="inlineStr">
        <is>
          <t>$17,244</t>
        </is>
      </c>
      <c r="D10" s="51" t="inlineStr">
        <is>
          <t>$17,244</t>
        </is>
      </c>
      <c r="E10" s="51" t="inlineStr">
        <is>
          <t>$17,244</t>
        </is>
      </c>
    </row>
    <row r="12">
      <c r="B12" s="3" t="inlineStr">
        <is>
          <t>DETAILED COMPARISON</t>
        </is>
      </c>
      <c r="C12" s="4" t="n"/>
      <c r="D12" s="4" t="n"/>
      <c r="E12" s="5" t="n"/>
    </row>
    <row r="13">
      <c r="B13" s="29" t="inlineStr">
        <is>
          <t>Metric</t>
        </is>
      </c>
      <c r="C13" s="57" t="inlineStr">
        <is>
          <t>Bear</t>
        </is>
      </c>
      <c r="D13" s="58" t="inlineStr">
        <is>
          <t>Base</t>
        </is>
      </c>
      <c r="E13" s="59" t="inlineStr">
        <is>
          <t>Bull</t>
        </is>
      </c>
    </row>
    <row r="14">
      <c r="B14" s="14" t="inlineStr">
        <is>
          <t>Bear</t>
        </is>
      </c>
      <c r="C14" s="62" t="inlineStr">
        <is>
          <t>2.2%</t>
        </is>
      </c>
      <c r="D14" s="62" t="inlineStr">
        <is>
          <t>10.5%</t>
        </is>
      </c>
      <c r="E14" s="62" t="inlineStr">
        <is>
          <t>9.0x</t>
        </is>
      </c>
      <c r="F14" s="62" t="inlineStr">
        <is>
          <t>$37,107</t>
        </is>
      </c>
      <c r="G14" s="62" t="inlineStr">
        <is>
          <t>5.9x</t>
        </is>
      </c>
      <c r="H14" s="62" t="inlineStr">
        <is>
          <t>$39,968</t>
        </is>
      </c>
      <c r="I14" s="62" t="inlineStr">
        <is>
          <t>$18,227</t>
        </is>
      </c>
      <c r="J14" s="62" t="inlineStr">
        <is>
          <t>$21,741</t>
        </is>
      </c>
      <c r="K14" s="62" t="inlineStr">
        <is>
          <t>4.7%</t>
        </is>
      </c>
      <c r="L14" s="62" t="inlineStr">
        <is>
          <t>1.26x</t>
        </is>
      </c>
      <c r="M14" s="62" t="inlineStr">
        <is>
          <t>4.10x</t>
        </is>
      </c>
    </row>
    <row r="15">
      <c r="B15" s="16" t="inlineStr">
        <is>
          <t>Base</t>
        </is>
      </c>
      <c r="C15" s="51" t="inlineStr">
        <is>
          <t>4.7%</t>
        </is>
      </c>
      <c r="D15" s="51" t="inlineStr">
        <is>
          <t>11.7%</t>
        </is>
      </c>
      <c r="E15" s="51" t="inlineStr">
        <is>
          <t>10.5x</t>
        </is>
      </c>
      <c r="F15" s="51" t="inlineStr">
        <is>
          <t>$37,107</t>
        </is>
      </c>
      <c r="G15" s="51" t="inlineStr">
        <is>
          <t>5.9x</t>
        </is>
      </c>
      <c r="H15" s="51" t="inlineStr">
        <is>
          <t>$58,629</t>
        </is>
      </c>
      <c r="I15" s="51" t="inlineStr">
        <is>
          <t>$15,632</t>
        </is>
      </c>
      <c r="J15" s="51" t="inlineStr">
        <is>
          <t>$42,997</t>
        </is>
      </c>
      <c r="K15" s="51" t="inlineStr">
        <is>
          <t>20.1%</t>
        </is>
      </c>
      <c r="L15" s="51" t="inlineStr">
        <is>
          <t>2.49x</t>
        </is>
      </c>
      <c r="M15" s="51" t="inlineStr">
        <is>
          <t>2.80x</t>
        </is>
      </c>
    </row>
    <row r="16">
      <c r="B16" s="14" t="inlineStr">
        <is>
          <t>Bull</t>
        </is>
      </c>
      <c r="C16" s="62" t="inlineStr">
        <is>
          <t>6.7%</t>
        </is>
      </c>
      <c r="D16" s="62" t="inlineStr">
        <is>
          <t>12.7%</t>
        </is>
      </c>
      <c r="E16" s="62" t="inlineStr">
        <is>
          <t>12.0x</t>
        </is>
      </c>
      <c r="F16" s="62" t="inlineStr">
        <is>
          <t>$37,107</t>
        </is>
      </c>
      <c r="G16" s="62" t="inlineStr">
        <is>
          <t>5.9x</t>
        </is>
      </c>
      <c r="H16" s="62" t="inlineStr">
        <is>
          <t>$79,945</t>
        </is>
      </c>
      <c r="I16" s="62" t="inlineStr">
        <is>
          <t>$12,882</t>
        </is>
      </c>
      <c r="J16" s="62" t="inlineStr">
        <is>
          <t>$67,063</t>
        </is>
      </c>
      <c r="K16" s="62" t="inlineStr">
        <is>
          <t>31.2%</t>
        </is>
      </c>
      <c r="L16" s="62" t="inlineStr">
        <is>
          <t>3.89x</t>
        </is>
      </c>
      <c r="M16" s="62" t="inlineStr">
        <is>
          <t>1.93x</t>
        </is>
      </c>
    </row>
  </sheetData>
  <mergeCells count="3">
    <mergeCell ref="B12:E12"/>
    <mergeCell ref="B1:E1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2026-02-26T18:14:07Z</dcterms:created>
  <dcterms:modified xmlns:dcterms="http://purl.org/dc/terms/" xmlns:xsi="http://www.w3.org/2001/XMLSchema-instance" xsi:type="dcterms:W3CDTF">2026-02-26T18:14:08Z</dcterms:modified>
</cp:coreProperties>
</file>